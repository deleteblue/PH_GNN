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mariamgelashvili/Downloads/VenomToxinDatabase/"/>
    </mc:Choice>
  </mc:AlternateContent>
  <xr:revisionPtr revIDLastSave="0" documentId="13_ncr:1_{E9735D26-7855-1F49-948A-D3184979664B}" xr6:coauthVersionLast="47" xr6:coauthVersionMax="47" xr10:uidLastSave="{00000000-0000-0000-0000-000000000000}"/>
  <bookViews>
    <workbookView xWindow="36340" yWindow="-12680" windowWidth="28800" windowHeight="17500" xr2:uid="{00000000-000D-0000-FFFF-FFFF00000000}"/>
  </bookViews>
  <sheets>
    <sheet name="Sheet0" sheetId="1" r:id="rId1"/>
  </sheets>
  <definedNames>
    <definedName name="_xlnm._FilterDatabase" localSheetId="0" hidden="1">Sheet0!$A$1:$O$146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2" i="1"/>
</calcChain>
</file>

<file path=xl/sharedStrings.xml><?xml version="1.0" encoding="utf-8"?>
<sst xmlns="http://schemas.openxmlformats.org/spreadsheetml/2006/main" count="2483" uniqueCount="1233">
  <si>
    <t>From</t>
  </si>
  <si>
    <t>Entry</t>
  </si>
  <si>
    <t>Fragment</t>
  </si>
  <si>
    <t>Entry Name</t>
  </si>
  <si>
    <t>Organism</t>
  </si>
  <si>
    <t>Protein names</t>
  </si>
  <si>
    <t>Sequence</t>
  </si>
  <si>
    <t>Sequence conflict</t>
  </si>
  <si>
    <t>Alternative products (isoforms)</t>
  </si>
  <si>
    <t>Signal peptide</t>
  </si>
  <si>
    <t>Propeptide</t>
  </si>
  <si>
    <t>Peptide</t>
  </si>
  <si>
    <t>Post-translational modification</t>
  </si>
  <si>
    <t>Disulfide bond</t>
  </si>
  <si>
    <t>PubMed ID</t>
  </si>
  <si>
    <t>Q1L777</t>
  </si>
  <si>
    <t>fragment</t>
  </si>
  <si>
    <t>CA1A_CONPR</t>
  </si>
  <si>
    <t>Conus pergrandis (Grand cone)</t>
  </si>
  <si>
    <t>Alpha-conotoxin PeIA</t>
  </si>
  <si>
    <t>FDGRNAAANDKASDLVALTVRGCCSHPACSVNHPELCG</t>
  </si>
  <si>
    <t/>
  </si>
  <si>
    <t xml:space="preserve">ALTERNATIVE PRODUCTS:  </t>
  </si>
  <si>
    <t>PROPEP &lt;1..21; /evidence="ECO:0000305"; /id="PRO_0000247850"</t>
  </si>
  <si>
    <t>PEPTIDE 22..37; /note="Alpha-conotoxin PeIA"; /evidence="ECO:0000305|PubMed:15983035, ECO:0000305|PubMed:21252227"; /id="PRO_0000247851"</t>
  </si>
  <si>
    <t>PTM: The hydroxylation at position Pro-27 is critical, since an hydroxylation at this position decreases potency of the toxin to inhibit both alpha-3-beta-2 (1300-fold) and alpha-6/alpha-3-beta-2-beta-3 (130-fold) nAChRs. {ECO:0000269|PubMed:23846688}.; PTM: A non-modified residue at position Pro-34 is critical, since a hydroxylation at this position decreases potency of the toxin to inhibit alpha-3-beta-2 (1-45-fold) and increases potency to inhibit alpha-6/alpha-3-beta-2-beta-3 (1.77-fold) nAChRs. {ECO:0000269|PubMed:23846688}.</t>
  </si>
  <si>
    <t>DISULFID 23..29; /evidence="ECO:0000305|PubMed:21252227, ECO:0000312|PDB:5JME"; DISULFID 24..37; /evidence="ECO:0000305|PubMed:21252227, ECO:0000312|PDB:5JME"</t>
  </si>
  <si>
    <t>15983035; 21252227; 22914547; 23846688; 26330550; 26783122; 25466886; 32101438; 33523678</t>
  </si>
  <si>
    <t>Q9U648</t>
  </si>
  <si>
    <t>O16M_CONTE</t>
  </si>
  <si>
    <t>Conus textile (Cloth-of-gold cone)</t>
  </si>
  <si>
    <t>Omega-conotoxin-like TxMKLT1-0211</t>
  </si>
  <si>
    <t>MKLTCMMIVAVLFLTAWTFVTAVPHSSNALENLYLKAHHEMNNPEDSELNKRCYDGGTSCDSGIQCCSGWCIFVCL</t>
  </si>
  <si>
    <t>SIGNAL 1..22; /evidence="ECO:0000255"</t>
  </si>
  <si>
    <t>PROPEP 23..52; /evidence="ECO:0000250"; /id="PRO_0000315468"</t>
  </si>
  <si>
    <t>PEPTIDE 53..76; /note="Omega-conotoxin-like TxMKLT1-0211"; /id="PRO_0000315469"</t>
  </si>
  <si>
    <t>DISULFID 53..67; /evidence="ECO:0000250"; DISULFID 60..71; /evidence="ECO:0000250"; DISULFID 66..75; /evidence="ECO:0000250"</t>
  </si>
  <si>
    <t>11158371</t>
  </si>
  <si>
    <t>Q5K0D6</t>
  </si>
  <si>
    <t>O16C_CONST</t>
  </si>
  <si>
    <t>Conus striatus (Striated cone)</t>
  </si>
  <si>
    <t>Omega-conotoxin-like 12</t>
  </si>
  <si>
    <t>MKLTCVVIVAVLLLTACQLITADDSRGTQKHRSLRSTTKVSKATDCIEAGNYCGPTVMKICCGFCSPYSKICMNYPKN</t>
  </si>
  <si>
    <t>PROPEP 23..42; /evidence="ECO:0000250"; /id="PRO_0000034946"</t>
  </si>
  <si>
    <t>PEPTIDE 43..78; /note="Omega-conotoxin-like 12"; /id="PRO_0000034947"</t>
  </si>
  <si>
    <t>DISULFID 46..62; /evidence="ECO:0000250"; DISULFID 53..65; /evidence="ECO:0000250"; DISULFID 61..72; /evidence="ECO:0000250"</t>
  </si>
  <si>
    <t>15652641</t>
  </si>
  <si>
    <t>Q5K0D5</t>
  </si>
  <si>
    <t>O16F_CONST</t>
  </si>
  <si>
    <t>Omega-conotoxin-like 15</t>
  </si>
  <si>
    <t>MKLTCVVIVAVLLLTACQLITAEDSRGTQKHRTLRSTARRSKSELTTRCRPSGSPCGVTSICCGRCSRGKCT</t>
  </si>
  <si>
    <t>PROPEP 23..48; /evidence="ECO:0000250"; /id="PRO_0000034948"</t>
  </si>
  <si>
    <t>PEPTIDE 49..72; /note="Omega-conotoxin-like 15"; /id="PRO_0000034949"</t>
  </si>
  <si>
    <t>DISULFID 49..63; /evidence="ECO:0000250"; DISULFID 56..66; /evidence="ECO:0000250"; DISULFID 62..71; /evidence="ECO:0000250"</t>
  </si>
  <si>
    <t>Q9XYZ1</t>
  </si>
  <si>
    <t>O162A_CONPL</t>
  </si>
  <si>
    <t>Conus pulicarius (Flea-bitten cone)</t>
  </si>
  <si>
    <t>Omega-conotoxin-like PuIIA</t>
  </si>
  <si>
    <t>MKLTCVVIVAVLFLTACQLITAETYSRGEQKHRALSSTDKNSKLTRTCNTPTQYCTLHRHCCSLYCHKTIHACA</t>
  </si>
  <si>
    <t>PROPEP 23..46; /evidence="ECO:0000250"; /id="PRO_0000034922"</t>
  </si>
  <si>
    <t>PEPTIDE 47..74; /note="Omega-conotoxin-like PuIIA"; /id="PRO_0000034923"</t>
  </si>
  <si>
    <t>DISULFID 48..62; /evidence="ECO:0000250"; DISULFID 55..66; /evidence="ECO:0000250"; DISULFID 61..73; /evidence="ECO:0000250"</t>
  </si>
  <si>
    <t>Q5K0B9</t>
  </si>
  <si>
    <t>O162_CONIM</t>
  </si>
  <si>
    <t>Conus imperialis (Imperial cone)</t>
  </si>
  <si>
    <t>Omega-conotoxin-like 2/7</t>
  </si>
  <si>
    <t>MKLTCMMIVAVMFLTASIFITADNSRNGIENLPRMRRHEMKKPKASKLNKRVCIADDMPCGFGLFGGPLCCSGWCLFVCL</t>
  </si>
  <si>
    <t>PROPEP 23..51; /evidence="ECO:0000250"; /id="PRO_0000034910"</t>
  </si>
  <si>
    <t>PEPTIDE 52..80; /note="Omega-conotoxin-like 2/7"; /id="PRO_0000034911"</t>
  </si>
  <si>
    <t>DISULFID 53..71; /evidence="ECO:0000250"; DISULFID 60..75; /evidence="ECO:0000250"; DISULFID 70..79; /evidence="ECO:0000250"</t>
  </si>
  <si>
    <t>Q5K0C0</t>
  </si>
  <si>
    <t>O163_CONIM</t>
  </si>
  <si>
    <t>Omega-conotoxin-like 3</t>
  </si>
  <si>
    <t>MKLTCMMIVAVLFLTASIFITADNSRNGIENLPRMRRHEMKKPKASKLNKRGCLPDEYFCGFSMIGALLCCSGWCLGICMT</t>
  </si>
  <si>
    <t>PROPEP 23..51; /evidence="ECO:0000250"; /id="PRO_0000034912"</t>
  </si>
  <si>
    <t>PEPTIDE 52..81; /note="Omega-conotoxin-like 3"; /id="PRO_0000034913"</t>
  </si>
  <si>
    <t>Q9XZK2</t>
  </si>
  <si>
    <t>O16O3_CONST</t>
  </si>
  <si>
    <t>Omega-conotoxin SO-3 (SO3)</t>
  </si>
  <si>
    <t>MKLTCMVIVAVLLLTACQLITADDSRGTQKHRTLRSKTKLSMSTRCKAAGKPCSRIAYNCCTGSCRSGKCG</t>
  </si>
  <si>
    <t>CONFLICT 6; /note="M -&gt; V (in Ref. 2; AAF89906)"; /evidence="ECO:0000305"</t>
  </si>
  <si>
    <t>PROPEP 23..45; /evidence="ECO:0000250"; /id="PRO_0000034932"</t>
  </si>
  <si>
    <t>PEPTIDE 46..70; /note="Omega-conotoxin SO-3"; /id="PRO_0000034933"</t>
  </si>
  <si>
    <t>DISULFID 46..61; /evidence="ECO:0000269|Ref.6, ECO:0007744|PDB:1FYG"; DISULFID 53..65; /evidence="ECO:0000269|Ref.6, ECO:0007744|PDB:1FYG"; DISULFID 60..70; /evidence="ECO:0000269|Ref.6, ECO:0007744|PDB:1FYG"</t>
  </si>
  <si>
    <t>10573284; 14510617; 15880145; 26344359</t>
  </si>
  <si>
    <t>Q9U651</t>
  </si>
  <si>
    <t>O161_CONTE</t>
  </si>
  <si>
    <t>Omega-conotoxin-like TxMKLT1-0141</t>
  </si>
  <si>
    <t>MKLTCMMIVAVLFLTAWTFATADDSSNGLENLFPKAHHEMKNPEASKLNERCLDAGEICDFFFPTCCGYCILLFCA</t>
  </si>
  <si>
    <t>PROPEP 23..50; /evidence="ECO:0000250"; /id="PRO_0000315470"</t>
  </si>
  <si>
    <t>PEPTIDE 52..76; /note="Omega-conotoxin-like TxMKLT1-0141"; /id="PRO_0000315471"</t>
  </si>
  <si>
    <t>DISULFID 52..67; /evidence="ECO:0000250"; DISULFID 59..70; /evidence="ECO:0000250"; DISULFID 66..75; /evidence="ECO:0000250"</t>
  </si>
  <si>
    <t>Q9XZL1</t>
  </si>
  <si>
    <t>O164_CONTE</t>
  </si>
  <si>
    <t>Omega-conotoxin-like TxO4 (Conotoxin TxMKLT1-0221) [Cleaved into: Truncated TxO4]</t>
  </si>
  <si>
    <t>MKLTCVVIVAVLFLTAWTFVTAVPHSSNALENLYLKARHEMENPEASKLNTRYDCEPPGNFCGMIKIGPPCCSGWCFFACA</t>
  </si>
  <si>
    <t>CONFLICT 6..7; /note="VV -&gt; MM (in Ref. 2; AAF07981)"; /evidence="ECO:0000305"</t>
  </si>
  <si>
    <t>PROPEP 23..52; /evidence="ECO:0000250"; /id="PRO_0000034956"</t>
  </si>
  <si>
    <t>PEPTIDE 53..81; /note="Omega-conotoxin-like TxO4"; /evidence="ECO:0000269|PubMed:22709442"; /id="PRO_0000034957"; PEPTIDE 65..81; /note="Truncated TxO4"; /evidence="ECO:0000305|PubMed:22709442"; /id="PRO_0000445112"</t>
  </si>
  <si>
    <t>PTM: TxO4 is found with and without hydroxyproline and these two forms have a bromotryptophan. Truncated TxO4 is found with and without bromotryptophan, and these two forms have no hydroxyproline. {ECO:0000269|PubMed:22709442}.</t>
  </si>
  <si>
    <t>DISULFID 55..72; /evidence="ECO:0000250|UniProtKB:Q26443"; DISULFID 62..76; /evidence="ECO:0000250|UniProtKB:Q26443"; DISULFID 71..80; /evidence="ECO:0000250|UniProtKB:Q26443"</t>
  </si>
  <si>
    <t>10573284; 11158371; 22709442</t>
  </si>
  <si>
    <t>Q9U654</t>
  </si>
  <si>
    <t>O16K_CONTE</t>
  </si>
  <si>
    <t>Omega-conotoxin-like TxO5 (Conotoxin TxMKLT1-012)</t>
  </si>
  <si>
    <t>MKLTCMMIVAVLFLTAWTFVTAITSNGLENLFPKAHHEMKNPEASKLNKRCVPYEGPCNWLTQNCCDATCVVFWCL</t>
  </si>
  <si>
    <t>PROPEP 23..48; /evidence="ECO:0000250"; /id="PRO_0000404708"</t>
  </si>
  <si>
    <t>PEPTIDE 51..76; /note="Omega-conotoxin-like TxO5"; /id="PRO_0000404709"</t>
  </si>
  <si>
    <t>DISULFID 51..66; /evidence="ECO:0000250"; DISULFID 58..70; /evidence="ECO:0000250"; DISULFID 65..75; /evidence="ECO:0000250"</t>
  </si>
  <si>
    <t>Q9XZK4</t>
  </si>
  <si>
    <t>O165_CONST</t>
  </si>
  <si>
    <t>Omega-conotoxin-like SO-5 (Omega-conotoxin SO5)</t>
  </si>
  <si>
    <t>MKLTCVMIVAVLLLTACQLITADDSRGTQKHRSLRSTTKVSKSTSCMEAGSYCGSTTRICCGYCAYFGKKCIDYPSN</t>
  </si>
  <si>
    <t>PROPEP 23..42; /evidence="ECO:0000250"; /id="PRO_0000034936"</t>
  </si>
  <si>
    <t>PEPTIDE 43..77; /note="Omega-conotoxin-like SO-5"; /id="PRO_0000034937"</t>
  </si>
  <si>
    <t>DISULFID 46..61; /evidence="ECO:0000250"; DISULFID 53..64; /evidence="ECO:0000250"; DISULFID 60..71; /evidence="ECO:0000250"</t>
  </si>
  <si>
    <t>10573284</t>
  </si>
  <si>
    <t>P0CB10</t>
  </si>
  <si>
    <t>O162_CONAJ</t>
  </si>
  <si>
    <t>Conus ammiralis (Admiral cone)</t>
  </si>
  <si>
    <t>Omega-conotoxin-like Ai6.2</t>
  </si>
  <si>
    <t>MKLTCVMIIAVLFLTAWTFATADDSGNGLENLFSKAHHEMKNPKASKLNKRCTQSGELCDVIDPDCCNNFCIIFFCI</t>
  </si>
  <si>
    <t>PROPEP 23..50; /evidence="ECO:0000250"; /id="PRO_0000380622"</t>
  </si>
  <si>
    <t>PEPTIDE 52..77; /note="Omega-conotoxin-like Ai6.2"; /id="PRO_0000380623"</t>
  </si>
  <si>
    <t>DISULFID 52..67; /evidence="ECO:0000250"; DISULFID 59..71; /evidence="ECO:0000250"; DISULFID 66..76; /evidence="ECO:0000250"</t>
  </si>
  <si>
    <t>P0C8V8</t>
  </si>
  <si>
    <t>O164_CONAH</t>
  </si>
  <si>
    <t>Conus achatinus (Little frog cone)</t>
  </si>
  <si>
    <t>Omega-conotoxin-like Ac6.4</t>
  </si>
  <si>
    <t>MKLTCVVIVAVLLLTACQLLTADDSRGTQKHRALRSDTKLSMSTRCKGKGASCSRTMYNCCTGSCNRGKCG</t>
  </si>
  <si>
    <t>PROPEP 23..45; /evidence="ECO:0000250"; /id="PRO_0000366089"</t>
  </si>
  <si>
    <t>PEPTIDE 46..70; /note="Omega-conotoxin-like Ac6.4"; /id="PRO_0000366090"</t>
  </si>
  <si>
    <t>DISULFID 46..61; /evidence="ECO:0000250|UniProtKB:P05484"; DISULFID 53..65; /evidence="ECO:0000250|UniProtKB:P05484"; DISULFID 60..70; /evidence="ECO:0000250|UniProtKB:P05484"</t>
  </si>
  <si>
    <t>18286662</t>
  </si>
  <si>
    <t>P0C831</t>
  </si>
  <si>
    <t>O166_CONST</t>
  </si>
  <si>
    <t>Omega-conotoxin-like S6.6</t>
  </si>
  <si>
    <t>MKLTCVVIVAVLLLTACQLLTADDSRGTQKHRALRSDTKLSMSTRCKGKGAPCRKTMYDCCSGSCGRRGKCG</t>
  </si>
  <si>
    <t>PROPEP 23..45; /evidence="ECO:0000250"; /id="PRO_0000345102"</t>
  </si>
  <si>
    <t>PEPTIDE 46..71; /note="Omega-conotoxin-like S6.6"; /id="PRO_0000345103"</t>
  </si>
  <si>
    <t>DISULFID 46..61; /evidence="ECO:0000250|UniProtKB:P05484"; DISULFID 53..65; /evidence="ECO:0000250|UniProtKB:P05484"; DISULFID 60..71; /evidence="ECO:0000250|UniProtKB:P05484"</t>
  </si>
  <si>
    <t>16183187</t>
  </si>
  <si>
    <t>Q3YED6</t>
  </si>
  <si>
    <t>O167_CONMR</t>
  </si>
  <si>
    <t>Conus marmoreus (Marble cone)</t>
  </si>
  <si>
    <t>Omega-conotoxin-like MaIr137</t>
  </si>
  <si>
    <t>MKLTCMMIVAVLFLTAWTFVTAVPHSSDVLENLYLKALHETENHEASKLNVRDDECEPPGDFCGFFKIGPPCCSGWCFLWCA</t>
  </si>
  <si>
    <t>PROPEP 23..52; /evidence="ECO:0000250"; /id="PRO_0000315510"</t>
  </si>
  <si>
    <t>PEPTIDE 53..82; /note="Omega-conotoxin-like MaIr137"; /id="PRO_0000315511"</t>
  </si>
  <si>
    <t>DISULFID 56..73; /evidence="ECO:0000250|UniProtKB:Q26443"; DISULFID 63..77; /evidence="ECO:0000250|UniProtKB:Q26443"; DISULFID 72..81; /evidence="ECO:0000250|UniProtKB:Q26443"</t>
  </si>
  <si>
    <t>17011667</t>
  </si>
  <si>
    <t>P0CI41</t>
  </si>
  <si>
    <t>CUG6A_CONCL</t>
  </si>
  <si>
    <t>Californiconus californicus (California cone) (Conus californicus)</t>
  </si>
  <si>
    <t>Omega-conotoxin Cl16a (Conotoxin CalTx) (Omega-conotoxin Cl15a)</t>
  </si>
  <si>
    <t>NCPAGCRSQGCCM</t>
  </si>
  <si>
    <t>PEPTIDE 1..13; /note="Omega-conotoxin Cl16a"; /evidence="ECO:0000269|PubMed:20363338"; /id="PRO_0000402421"</t>
  </si>
  <si>
    <t>PTM: Contains 2 disulfide bonds. {ECO:0000305}.</t>
  </si>
  <si>
    <t>20363338; 20920515</t>
  </si>
  <si>
    <t>P58917</t>
  </si>
  <si>
    <t>O16A_CONCT</t>
  </si>
  <si>
    <t>Conus catus (Cat cone)</t>
  </si>
  <si>
    <t>Omega-conotoxin CVIA</t>
  </si>
  <si>
    <t>MKLTCVVIVAMLLLTACQLITANDSRGTQKHRALRSDTKLSMSTRCKSTGASCRRTSYDCCTGSCRSGRCG</t>
  </si>
  <si>
    <t>PROPEP 23..45; /evidence="ECO:0000269|PubMed:10938268"; /id="PRO_0000034962"</t>
  </si>
  <si>
    <t>PEPTIDE 46..70; /note="Omega-conotoxin CVIA"; /evidence="ECO:0000269|PubMed:10938268"; /id="PRO_0000034963"</t>
  </si>
  <si>
    <t>10938268; 19892914</t>
  </si>
  <si>
    <t>P01522</t>
  </si>
  <si>
    <t>O16A_CONGE</t>
  </si>
  <si>
    <t>Conus geographus (Geography cone) (Nubecula geographus)</t>
  </si>
  <si>
    <t>Omega-conotoxin GVIA (SNX-124) (Shaker peptide) [Cleaved into: Omega-conotoxin GVIB; Omega-conotoxin GVIC]</t>
  </si>
  <si>
    <t>MKLTCVVIVAVLLLTACQLITADDSRGTQKHRALGSTTELSLSTRCKSPGSSCSPTSYNCCRSCNPYTKRCYG</t>
  </si>
  <si>
    <t>PROPEP 23..45; /evidence="ECO:0000269|PubMed:4071055, ECO:0000269|PubMed:6509012"; /id="PRO_0000034906"</t>
  </si>
  <si>
    <t>PEPTIDE 46..73; /note="Omega-conotoxin GVIB"; /evidence="ECO:0000269|PubMed:4071055"; /id="PRO_0000034907"; PEPTIDE 46..72; /note="Omega-conotoxin GVIA"; /evidence="ECO:0000269|PubMed:6509012"; /id="PRO_0000034908"; PEPTIDE 46..71; /note="Omega-conotoxin GVIC"; /evidence="ECO:0000269|PubMed:4071055"; /id="PRO_0000034909"</t>
  </si>
  <si>
    <t>DISULFID 46..61; /evidence="ECO:0000269|PubMed:10231724, ECO:0000269|PubMed:8230223, ECO:0000269|PubMed:8251934, ECO:0000269|PubMed:8338837, ECO:0000269|PubMed:8343203, ECO:0000312|PDB:1OMC, ECO:0000312|PDB:1TR6, ECO:0000312|PDB:1TTL, ECO:0000312|PDB:2CCO"; DISULFID 53..64; /evidence="ECO:0000269|PubMed:10231724, ECO:0000269|PubMed:8230223, ECO:0000269|PubMed:8251934, ECO:0000269|PubMed:8338837, ECO:0000269|PubMed:8343203, ECO:0000312|PDB:1OMC, ECO:0000312|PDB:1TR6, ECO:0000312|PDB:1TTL, ECO:0000312|PDB:2CCO"; DISULFID 60..71; /evidence="ECO:0000269|PubMed:10231724, ECO:0000269|PubMed:8230223, ECO:0000269|PubMed:8251934, ECO:0000269|PubMed:8338837, ECO:0000269|PubMed:8343203, ECO:0000312|PDB:1OMC, ECO:0000312|PDB:1TR6, ECO:0000312|PDB:1TTL, ECO:0000312|PDB:2CCO"</t>
  </si>
  <si>
    <t>1440648; 6509012; 4071055; 3779030; 8394704; 7929033; 9115267; 10938268; 11724570; 8343203; 8338837; 8230223; 8251934; 10231724; 10822250</t>
  </si>
  <si>
    <t>Q9XYZ0</t>
  </si>
  <si>
    <t>O161A_CONPL</t>
  </si>
  <si>
    <t>Omega-conotoxin-like PuIA</t>
  </si>
  <si>
    <t>MKLTCVMIVAVLFLTAWTFVTADSIRALEDLFAKAPDEMENSGASPLNERDCRPVGQYCGIPYEHNWRCCSQLCAIICVS</t>
  </si>
  <si>
    <t>PROPEP 23..50; /evidence="ECO:0000250"; /id="PRO_0000034920"</t>
  </si>
  <si>
    <t>PEPTIDE 51..80; /note="Omega-conotoxin-like PuIA"; /id="PRO_0000034921"</t>
  </si>
  <si>
    <t>DISULFID 52..70; /evidence="ECO:0000250"; DISULFID 59..74; /evidence="ECO:0000250"; DISULFID 69..78; /evidence="ECO:0000250"</t>
  </si>
  <si>
    <t>P28881</t>
  </si>
  <si>
    <t>O16B_CONST</t>
  </si>
  <si>
    <t>Omega-conotoxin SVIB (SNX-183)</t>
  </si>
  <si>
    <t>MKLTCVVIVAVLLLTACQLITADDSRGTQKHRALRSDTKLPMSTRCKLKGQSCRKTSYDCCSGSCGRSGKCG</t>
  </si>
  <si>
    <t>PROPEP 23..45; /evidence="ECO:0000305"; /id="PRO_0000034926"</t>
  </si>
  <si>
    <t>PEPTIDE 46..71; /note="Omega-conotoxin SVIB"; /evidence="ECO:0000269|PubMed:1390774"; /id="PRO_0000034927"</t>
  </si>
  <si>
    <t>DISULFID 46..61; /evidence="ECO:0000269|PubMed:8913308, ECO:0000312|PDB:1MVJ"; DISULFID 53..65; /evidence="ECO:0000269|PubMed:8913308, ECO:0000312|PDB:1MVJ"; DISULFID 60..71; /evidence="ECO:0000269|PubMed:8913308, ECO:0000312|PDB:1MVJ"</t>
  </si>
  <si>
    <t>10573284; 1390774; 8913308</t>
  </si>
  <si>
    <t>P58920</t>
  </si>
  <si>
    <t>O16D_CONCT</t>
  </si>
  <si>
    <t>Omega-conotoxin CVID (AM-336) (AM336) (CNSB004) (Leconotide)</t>
  </si>
  <si>
    <t>MKLTCVVIVAVLLLTACQLITADDSRGTQKHRALRSDTKLSMSTRCKSKGAKCSKLMYDCCSGSCSGTVGRCG</t>
  </si>
  <si>
    <t>PROPEP 23..45; /evidence="ECO:0000269|PubMed:10938268"; /id="PRO_0000034964"</t>
  </si>
  <si>
    <t>PEPTIDE 46..72; /note="Omega-conotoxin CVID"; /id="PRO_0000034965"</t>
  </si>
  <si>
    <t>DISULFID 46..61; /evidence="ECO:0000269|PubMed:10938268"; DISULFID 53..65; /evidence="ECO:0000269|PubMed:10938268"; DISULFID 60..72; /evidence="ECO:0000269|PubMed:10938268"</t>
  </si>
  <si>
    <t>10938268; 12441339</t>
  </si>
  <si>
    <t>Q9XZL3</t>
  </si>
  <si>
    <t>O16O6_CONTE</t>
  </si>
  <si>
    <t>Omega-conotoxin-like TxO6</t>
  </si>
  <si>
    <t>MKLTCVVIVAVLFLTAWTLVMADDSNNGLANLFSKSRDEMEDPEAAKLEKNYCQEKWDYCPVPFLGSRYCCDGLFCTLFFCA</t>
  </si>
  <si>
    <t>PROPEP 23..50; /evidence="ECO:0000250"; /id="PRO_0000034960"</t>
  </si>
  <si>
    <t>PEPTIDE 51..82; /note="Omega-conotoxin-like TxO6"; /evidence="ECO:0000269|PubMed:22709442"; /id="PRO_0000034961"</t>
  </si>
  <si>
    <t>DISULFID 53..71; /evidence="ECO:0000250|UniProtKB:Q26443"; DISULFID 60..76; /evidence="ECO:0000250|UniProtKB:Q26443"; DISULFID 70..81; /evidence="ECO:0000250|UniProtKB:Q26443"</t>
  </si>
  <si>
    <t>10573284; 22709442</t>
  </si>
  <si>
    <t>P05484</t>
  </si>
  <si>
    <t>O17A_CONMA</t>
  </si>
  <si>
    <t>Conus magus (Magical cone)</t>
  </si>
  <si>
    <t>Omega-conotoxin MVIIA (SNX-111) (Ziconotide)</t>
  </si>
  <si>
    <t>MKLTCVVIVAVLLLTACQLITADDSRGTQKHRALRSTTKLSTSTRCKGKGAKCSRLMYDCCTGSCRSGKCG</t>
  </si>
  <si>
    <t>CONFLICT 42; /note="T -&gt; M (in Ref. 2; ADB93081)"; /evidence="ECO:0000305"</t>
  </si>
  <si>
    <t>PROPEP 23..45; /evidence="ECO:0000269|PubMed:2441741, ECO:0000269|PubMed:4071055"; /id="PRO_0000034914"</t>
  </si>
  <si>
    <t>PEPTIDE 46..70; /note="Omega-conotoxin MVIIA"; /evidence="ECO:0000269|PubMed:2441741, ECO:0000269|PubMed:4071055"; /id="PRO_0000034915"</t>
  </si>
  <si>
    <t>DISULFID 46..61; /evidence="ECO:0000269|PubMed:10373375, ECO:0000269|PubMed:10747778, ECO:0000269|PubMed:11344322, ECO:0000269|PubMed:7640281, ECO:0000269|PubMed:7656969, ECO:0000269|PubMed:8537186, ECO:0000269|PubMed:8913308"; DISULFID 53..65; /evidence="ECO:0000269|PubMed:10373375, ECO:0000269|PubMed:10747778, ECO:0000269|PubMed:11344322, ECO:0000269|PubMed:7640281, ECO:0000269|PubMed:7656969, ECO:0000269|PubMed:8537186, ECO:0000269|PubMed:8913308"; DISULFID 60..70; /evidence="ECO:0000269|PubMed:10373375, ECO:0000269|PubMed:10747778, ECO:0000269|PubMed:11344322, ECO:0000269|PubMed:7640281, ECO:0000269|PubMed:7656969, ECO:0000269|PubMed:8537186, ECO:0000269|PubMed:8913308"</t>
  </si>
  <si>
    <t>10938268; 20363338; 4071055; 2441741; 8537186; 7826361; 15578997; 26344359; 28202361; 30194442; 34589389; 7640281; 7656969; 8913308; 10373375; 10747778; 11344322; 34234349</t>
  </si>
  <si>
    <t>Q5K0C4</t>
  </si>
  <si>
    <t>O161_CONCE</t>
  </si>
  <si>
    <t>Conus capitaneus (Captain cone)</t>
  </si>
  <si>
    <t>Omega-conotoxin-like 1</t>
  </si>
  <si>
    <t>MKLTCVLIVVVLFLTACQLITTDDSTGKQRYQAWKLRSKMQNSVLSRLSKRCDEEGTGCSSDSECCSGRCTPEGLFEFCE</t>
  </si>
  <si>
    <t>PROPEP 23..49; /evidence="ECO:0000250"; /id="PRO_0000034904"</t>
  </si>
  <si>
    <t>PEPTIDE 52..80; /note="Omega-conotoxin-like 1"; /id="PRO_0000034905"</t>
  </si>
  <si>
    <t>PTM: Peptide predicted to begin at Arg-51, but it seems more probable that it begins at Cys-52, since this position corresponds to a dibasic residue cleavage. {ECO:0000269|PubMed:15652641}.</t>
  </si>
  <si>
    <t>DISULFID 52..66; /evidence="ECO:0000250"; DISULFID 59..70; /evidence="ECO:0000250"; DISULFID 65..79; /evidence="ECO:0000250"</t>
  </si>
  <si>
    <t>P0C832</t>
  </si>
  <si>
    <t>O167_CONST</t>
  </si>
  <si>
    <t>Omega-conotoxin-like S6.7</t>
  </si>
  <si>
    <t>KSTSCMEAGSYCGSTTRICCGYCAYSASKNVCDYPSN</t>
  </si>
  <si>
    <t>PROPEP &lt;1..4; /evidence="ECO:0000250"; /id="PRO_0000345104"</t>
  </si>
  <si>
    <t>PEPTIDE 5..37; /note="Omega-conotoxin-like S6.7"; /id="PRO_0000345105"</t>
  </si>
  <si>
    <t>DISULFID 5..20; /evidence="ECO:0000250"; DISULFID 12..23; /evidence="ECO:0000250"; DISULFID 19..32; /evidence="ECO:0000250"</t>
  </si>
  <si>
    <t>P56712</t>
  </si>
  <si>
    <t>O16A_CONPE</t>
  </si>
  <si>
    <t>Conus pennaceus (Feathered cone) (Conus episcopus)</t>
  </si>
  <si>
    <t>Omega-conotoxin PnVIA</t>
  </si>
  <si>
    <t>MKLTCMMIIAVLFLTAWTFVMADDPRDEPEARDEMNPAASKLNERGCLEVDYFCGIPFANNGLCCSGNCVFVCTPQGK</t>
  </si>
  <si>
    <t>PROPEP 23..45; /evidence="ECO:0000269|PubMed:8863526"; /id="PRO_0000392704"</t>
  </si>
  <si>
    <t>PEPTIDE 46..76; /note="Omega-conotoxin PnVIA"; /id="PRO_0000044876"</t>
  </si>
  <si>
    <t>DISULFID 47..65; /evidence="ECO:0000250"; DISULFID 54..69; /evidence="ECO:0000250"; DISULFID 64..73; /evidence="ECO:0000250"</t>
  </si>
  <si>
    <t>11158371; 8863526</t>
  </si>
  <si>
    <t>P58914</t>
  </si>
  <si>
    <t>O16A_CONRA</t>
  </si>
  <si>
    <t>Conus radiatus (Rayed cone)</t>
  </si>
  <si>
    <t>Omega-conotoxin RVIA</t>
  </si>
  <si>
    <t>CKPPGSPCRVSSYNCCSSCKSYNKKCG</t>
  </si>
  <si>
    <t>PEPTIDE 1..27; /note="Omega-conotoxin RVIA"; /id="PRO_0000044478"</t>
  </si>
  <si>
    <t>DISULFID 1..16; DISULFID 8..19; DISULFID 15..26</t>
  </si>
  <si>
    <t>P58918</t>
  </si>
  <si>
    <t>O16B_CONCT</t>
  </si>
  <si>
    <t>Omega-conotoxin CVIB</t>
  </si>
  <si>
    <t>CKGKGASCRKTMYDCCRGSCRSGRC</t>
  </si>
  <si>
    <t>PEPTIDE 1..25; /note="Omega-conotoxin CVIB"; /evidence="ECO:0000269|PubMed:10938268"; /id="PRO_0000044482"</t>
  </si>
  <si>
    <t>DISULFID 1..16; /evidence="ECO:0000250|UniProtKB:P05484"; DISULFID 8..20; /evidence="ECO:0000250|UniProtKB:P05484"; DISULFID 15..25; /evidence="ECO:0000250|UniProtKB:P05484"</t>
  </si>
  <si>
    <t>P58919</t>
  </si>
  <si>
    <t>O16C_CONCT</t>
  </si>
  <si>
    <t>Omega-conotoxin CVIC</t>
  </si>
  <si>
    <t>CKGKGQSCSKLMYDCCTGSCSRRGKC</t>
  </si>
  <si>
    <t>PEPTIDE 1..26; /note="Omega-conotoxin CVIC"; /id="PRO_0000044483"</t>
  </si>
  <si>
    <t>DISULFID 1..16; /evidence="ECO:0000250"; DISULFID 8..20; /evidence="ECO:0000250"; DISULFID 15..26; /evidence="ECO:0000250"</t>
  </si>
  <si>
    <t>10938268</t>
  </si>
  <si>
    <t>P0CY69</t>
  </si>
  <si>
    <t>O17B_CONBU</t>
  </si>
  <si>
    <t>Conus bullatus (Bubble cone)</t>
  </si>
  <si>
    <t>Omega-conotoxin-like Bu11</t>
  </si>
  <si>
    <t>ACQLITAEDSRGTQLHRALRSTSKVSKSTSCVEAGSYCRPNVKLCCGFCSPYSKICMNFPKN</t>
  </si>
  <si>
    <t>SIGNAL &lt;1..7; /evidence="ECO:0000255"</t>
  </si>
  <si>
    <t>PROPEP 8..27; /evidence="ECO:0000250"; /id="PRO_0000409954"</t>
  </si>
  <si>
    <t>PEPTIDE 28..62; /note="Omega-conotoxin-like Bu11"; /id="PRO_0000409955"</t>
  </si>
  <si>
    <t>DISULFID 31..46; /evidence="ECO:0000250"; DISULFID 38..49; /evidence="ECO:0000250"; DISULFID 45..56; /evidence="ECO:0000250"</t>
  </si>
  <si>
    <t>21266071</t>
  </si>
  <si>
    <t>P0CY60</t>
  </si>
  <si>
    <t>O171_CONBU</t>
  </si>
  <si>
    <t>Omega-conotoxin-like Bu1</t>
  </si>
  <si>
    <t>MKLTCVAIVAVLLLTACQLITAEDSRGTQLHRALRKTTKLSVSTRCKGPGAKCLKTMYDCCKYSCSRGRC</t>
  </si>
  <si>
    <t>PROPEP 23..45; /evidence="ECO:0000250"; /id="PRO_0000409935"</t>
  </si>
  <si>
    <t>PEPTIDE 46..70; /note="Omega-conotoxin-like Bu1"; /id="PRO_0000409936"</t>
  </si>
  <si>
    <t>DISULFID 46..61; /evidence="ECO:0000250"; DISULFID 53..65; /evidence="ECO:0000250"; DISULFID 60..70; /evidence="ECO:0000250"</t>
  </si>
  <si>
    <t>P05483</t>
  </si>
  <si>
    <t>U7AB_CONGE</t>
  </si>
  <si>
    <t>Omega-conotoxins GVIIA/GVIIB (SNX-178) (Shaker peptides GVIIA/GVIIB)</t>
  </si>
  <si>
    <t>CKSPGTPCSRGMRDCCTSCLLYSNKCRRY</t>
  </si>
  <si>
    <t>PEPTIDE 1..29; /note="Omega-conotoxins GVIIA/GVIIB"; /id="PRO_0000044475"</t>
  </si>
  <si>
    <t>4071055</t>
  </si>
  <si>
    <t>P58916</t>
  </si>
  <si>
    <t>O17H_CONCN</t>
  </si>
  <si>
    <t>Conus consors (Singed cone)</t>
  </si>
  <si>
    <t>Omega-conotoxin-like CnVIIH [Cleaved into: Omega-conotoxin CnVIIA]</t>
  </si>
  <si>
    <t>CKGKGAPCTRLMYDCCHGSCSSSKGRCG</t>
  </si>
  <si>
    <t>PEPTIDE 1..28; /note="Omega-conotoxin-like CnVIIH"; /evidence="ECO:0000269|PubMed:22705119"; /id="PRO_0000419828"; PEPTIDE 1..27; /note="Omega-conotoxin CnVIIA"; /evidence="ECO:0000269|PubMed:11724570"; /id="PRO_0000044481"</t>
  </si>
  <si>
    <t>DISULFID 1..16; /evidence="ECO:0000250"; DISULFID 8..20; /evidence="ECO:0000250"; DISULFID 15..27; /evidence="ECO:0000250"</t>
  </si>
  <si>
    <t>11724570; 22705119</t>
  </si>
  <si>
    <t>Q26350</t>
  </si>
  <si>
    <t>O17D_CONMA</t>
  </si>
  <si>
    <t>Omega-conotoxin MVIID (SNX-238)</t>
  </si>
  <si>
    <t>STRCQGRGASCRKTMYNCCSGSCNRGRCG</t>
  </si>
  <si>
    <t>PROPEP &lt;1..3; /evidence="ECO:0000305"; /id="PRO_0000034918"</t>
  </si>
  <si>
    <t>PEPTIDE 4..28; /note="Omega-conotoxin MVIID"; /evidence="ECO:0000305|PubMed:8107968, ECO:0000305|PubMed:9920728"; /id="PRO_0000034919"</t>
  </si>
  <si>
    <t>DISULFID 4..19; /evidence="ECO:0000269|PubMed:9920728"; DISULFID 11..23; /evidence="ECO:0000269|PubMed:9920728"; DISULFID 18..28; /evidence="ECO:0000269|PubMed:9920728"</t>
  </si>
  <si>
    <t>8107968; 9920728</t>
  </si>
  <si>
    <t>P56714</t>
  </si>
  <si>
    <t>O17_CONTE</t>
  </si>
  <si>
    <t>Omega-conotoxin TxVII</t>
  </si>
  <si>
    <t>MKLTCMMIVAVLFLTAWTFATADDSGNGLENLFPKAHHEMKNPEASKLNKRCKQADEPCDVFSLDCCTGICLGVCMW</t>
  </si>
  <si>
    <t>CONFLICT 31; /note="N -&gt; K (in Ref. 1; AAF07974)"; /evidence="ECO:0000305"; CONFLICT 34..35; /note="PK -&gt; SN (in Ref. 1; AAF07974)"; /evidence="ECO:0000305"</t>
  </si>
  <si>
    <t>PROPEP 23..49; /id="PRO_0000392706"</t>
  </si>
  <si>
    <t>PEPTIDE 52..77; /note="Omega-conotoxin TxVII"; /id="PRO_0000044479"</t>
  </si>
  <si>
    <t>DISULFID 52..67; /evidence="ECO:0000269|PubMed:11101291, ECO:0000312|PDB:1F3K"; DISULFID 59..71; /evidence="ECO:0000269|PubMed:11101291, ECO:0000312|PDB:1F3K"; DISULFID 66..75; /evidence="ECO:0000269|PubMed:11101291, ECO:0000312|PDB:1F3K"</t>
  </si>
  <si>
    <t>11158371; 8679638; 11101291</t>
  </si>
  <si>
    <t>P83301</t>
  </si>
  <si>
    <t>U6VN_CONVE</t>
  </si>
  <si>
    <t>Conus ventricosus (Mediterranean cone)</t>
  </si>
  <si>
    <t>Omega-conotoxin-like Vn2 (Conotoxin Vn2) (Conotoxin-Vn) (Vn6A)</t>
  </si>
  <si>
    <t>EDCIAVGQLCVFWNIGRPCCSGLCVFACTVKLP</t>
  </si>
  <si>
    <t>PEPTIDE 1..33; /note="Omega-conotoxin-like Vn2"; /id="PRO_0000044881"</t>
  </si>
  <si>
    <t>DISULFID 3..20; /evidence="ECO:0000250"; DISULFID 10..24; /evidence="ECO:0000250"; DISULFID 19..28; /evidence="ECO:0000250"</t>
  </si>
  <si>
    <t>18266261; 22728460</t>
  </si>
  <si>
    <t>P0CY84</t>
  </si>
  <si>
    <t>COW_CONBU</t>
  </si>
  <si>
    <t>Contryphan-Bu</t>
  </si>
  <si>
    <t>MGKLTILVLVAAVLLSTQVMGQGDRDQPAARNAVPRDDNPGGASAKLMNLLHRSKCPWSPWCG</t>
  </si>
  <si>
    <t>SIGNAL 1..21; /evidence="ECO:0000255"</t>
  </si>
  <si>
    <t>PROPEP 22..54; /evidence="ECO:0000305"; /id="PRO_0000409985"</t>
  </si>
  <si>
    <t>PEPTIDE 55..62; /note="Contryphan-Bu"; /evidence="ECO:0000305"; /id="PRO_0000409986"</t>
  </si>
  <si>
    <t>DISULFID 56..62; /evidence="ECO:0000250|UniProtKB:P58786"</t>
  </si>
  <si>
    <t>Q2I2P3</t>
  </si>
  <si>
    <t>COW1_CONLT</t>
  </si>
  <si>
    <t>Conus litteratus (Lettered cone)</t>
  </si>
  <si>
    <t>Contryphan-Lt</t>
  </si>
  <si>
    <t>MGKLTILLLVAAALLSTQVMVQGGGDQPAARNAVPRDDNPDGMSGQFMNVLRRSGCPWEPWCG</t>
  </si>
  <si>
    <t>SIGNAL 1..23; /evidence="ECO:0000255"</t>
  </si>
  <si>
    <t>PROPEP 24..54; /evidence="ECO:0000305"; /id="PRO_0000262671"</t>
  </si>
  <si>
    <t>PEPTIDE 55..62; /note="Contryphan-Lt"; /id="PRO_0000262672"</t>
  </si>
  <si>
    <t>16908117; 28152596</t>
  </si>
  <si>
    <t>P62903</t>
  </si>
  <si>
    <t>COW_CONMR</t>
  </si>
  <si>
    <t>Glacontryphan-M</t>
  </si>
  <si>
    <t>MGKLTILVLVAAVLLSTQVMVQGDRDQPADRNAVPRDDNPGRARRKRMKVLNESECPWHPWCG</t>
  </si>
  <si>
    <t>PROPEP 24..51; /evidence="ECO:0000269|PubMed:15155730"; /id="PRO_0000035066"</t>
  </si>
  <si>
    <t>PEPTIDE 52..62; /note="Glacontryphan-M"; /evidence="ECO:0000269|PubMed:15155730"; /id="PRO_0000035067"</t>
  </si>
  <si>
    <t>DISULFID 56..62; /evidence="ECO:0000269|PubMed:15155731"</t>
  </si>
  <si>
    <t>15155730; 15155731</t>
  </si>
  <si>
    <t>Q9BH84</t>
  </si>
  <si>
    <t>O162_CONAE</t>
  </si>
  <si>
    <t>Conus arenatus (Sand-dusted cone)</t>
  </si>
  <si>
    <t>Omega-conotoxin-like ArMKLT1-011 (Conotoxin ArMKLT1-0131)</t>
  </si>
  <si>
    <t>MKLTCMMIVAVLFLTAWTSVTAVNTRGELENLFLRASHEMNSEASKLDKKVCVDGGTFCGFPKIGGPCCSGWCIFVCL</t>
  </si>
  <si>
    <t>PROPEP 23..48; /evidence="ECO:0000250"; /id="PRO_0000404762"</t>
  </si>
  <si>
    <t>PEPTIDE 51..78; /note="Omega-conotoxin-like ArMKLT1-011"; /id="PRO_0000404763"</t>
  </si>
  <si>
    <t>DISULFID 52..69; /evidence="ECO:0000250|UniProtKB:Q26443"; DISULFID 59..73; /evidence="ECO:0000250|UniProtKB:Q26443"; DISULFID 68..77; /evidence="ECO:0000250|UniProtKB:Q26443"</t>
  </si>
  <si>
    <t>Q9BP99</t>
  </si>
  <si>
    <t>O163_CONAE</t>
  </si>
  <si>
    <t>Omega-conotoxin-like ArMKLT1-02</t>
  </si>
  <si>
    <t>MKVTCMMIVAVLFLTAWTFVTADDSISALEDLFAKAHDKMENSEASPLNERDCRALGEYCGLPYVHNSRCCSQLCGFICVPESP</t>
  </si>
  <si>
    <t>PROPEP 23..51; /evidence="ECO:0000250"; /id="PRO_0000404766"</t>
  </si>
  <si>
    <t>PEPTIDE 52..84; /note="Omega-conotoxin-like ArMKLT1-02"; /id="PRO_0000404767"</t>
  </si>
  <si>
    <t>P0C248</t>
  </si>
  <si>
    <t>COW_CONAA</t>
  </si>
  <si>
    <t>Conus amadis (Amadis cone)</t>
  </si>
  <si>
    <t>Contryphan-Am (Am975) (Bromocontryphan Ama1055) (Contryphan Am976) (Contryphan Ama976) [Cleaved into: Contryphan-Am Ama919 (Contryphan 919) (Contryphan-Am Am918)]</t>
  </si>
  <si>
    <t>MGKLTILVLVAAALLSTQVMVQGDGDQPADRDAVPRDDNPSGMSGKFMNVLRRAGCPWDPWCG</t>
  </si>
  <si>
    <t>PROPEP 24..54; /evidence="ECO:0000305"; /id="PRO_0000445122"</t>
  </si>
  <si>
    <t>PEPTIDE 55..62; /note="Contryphan-Am"; /evidence="ECO:0000269|PubMed:16387709, ECO:0000269|PubMed:16945451, ECO:0000269|PubMed:17902199, ECO:0000269|PubMed:31203793"; /id="PRO_0000262668"; PEPTIDE 56..62; /note="Contryphan-Am Ama919"; /evidence="ECO:0000269|PubMed:17902199, ECO:0000269|PubMed:31203793"; /id="PRO_0000439692"</t>
  </si>
  <si>
    <t>DISULFID 56..62; /evidence="ECO:0000269|PubMed:16945451, ECO:0000305|PubMed:17902199, ECO:0000305|PubMed:31203793"</t>
  </si>
  <si>
    <t>28152596; 30593932; 16387709; 16945451; 17902199; 31203793</t>
  </si>
  <si>
    <t>P0C249</t>
  </si>
  <si>
    <t>COW_CONIN</t>
  </si>
  <si>
    <t>Conus inscriptus (Engraved cone)</t>
  </si>
  <si>
    <t>Contryphan-In (Contryphan-In936) [Cleaved into: Contryphan-In880 (Contryphan-In896)]</t>
  </si>
  <si>
    <t>GCVLYPWC</t>
  </si>
  <si>
    <t>PEPTIDE 1..8; /note="Contryphan-In"; /evidence="ECO:0000269|PubMed:16387709, ECO:0000269|PubMed:17902199"; /id="PRO_0000262669"; PEPTIDE 2..8; /note="Contryphan-In880"; /evidence="ECO:0000269|PubMed:17902199"; /id="PRO_0000439693"</t>
  </si>
  <si>
    <t>DISULFID 2..8; /evidence="ECO:0000269|PubMed:24115170, ECO:0000312|PDB:2M6C, ECO:0000312|PDB:2M6D, ECO:0000312|PDB:2M6E, ECO:0000312|PDB:2M6F"</t>
  </si>
  <si>
    <t>16387709; 17902199; 33732044; 24115170</t>
  </si>
  <si>
    <t>P81755</t>
  </si>
  <si>
    <t>CT5AS_CONTE</t>
  </si>
  <si>
    <t>Epsilon-conotoxin TxVA (Epsilon-TxIX) (Tx-012) (Tx5.2) (tx5a)</t>
  </si>
  <si>
    <t>MRCFPVFIILLLLIASAPCFDARTKTDDDVPLSSLRDNLKRTIRTRLNIRECCEDGWCCTAAPLTGR</t>
  </si>
  <si>
    <t>SIGNAL 1..19; /evidence="ECO:0000255"</t>
  </si>
  <si>
    <t>PROPEP 20..50; /evidence="ECO:0000269|PubMed:10318957, ECO:0000269|PubMed:10521453, ECO:0000269|PubMed:10679974"; /id="PRO_0000035016"; PROPEP 64..67; /evidence="ECO:0000269|PubMed:10318957, ECO:0000269|PubMed:10521453, ECO:0000269|PubMed:10679974"; /id="PRO_0000035018"</t>
  </si>
  <si>
    <t>PEPTIDE 51..63; /note="Epsilon-conotoxin TxVA"; /evidence="ECO:0000269|PubMed:10318957, ECO:0000269|PubMed:10521453, ECO:0000269|PubMed:10679974"; /id="PRO_0000035017"</t>
  </si>
  <si>
    <t>PTM: O-glycan consists of the disaccharide Gal-GalNAc. {ECO:0000269|PubMed:10318957}.</t>
  </si>
  <si>
    <t>DISULFID 52..58; /evidence="ECO:0000269|PubMed:10318957"; DISULFID 53..59; /evidence="ECO:0000269|PubMed:10318957"</t>
  </si>
  <si>
    <t>10521453; 11158371; 10318957; 10679974</t>
  </si>
  <si>
    <t>P0DKQ3</t>
  </si>
  <si>
    <t>M7E_CONCN</t>
  </si>
  <si>
    <t>Omega-conotoxin-like CnVIIE [Cleaved into: Omega-conotoxin-like CnVIIC ([Hyp7-CnVIIC])]</t>
  </si>
  <si>
    <t>MKLTCVVIVAVLLLTACQLITADDSRGTQKHRALRSDTKLSMSTRCKGTGKPCSRIAYNCCTGSCRSGKCG</t>
  </si>
  <si>
    <t>PROPEP 23..45; /evidence="ECO:0000305|PubMed:22705119"; /id="PRO_0000451774"</t>
  </si>
  <si>
    <t>PEPTIDE 46..71; /note="Omega-conotoxin-like CnVIIE"; /evidence="ECO:0000269|PubMed:22705119"; /id="PRO_0000419883"; PEPTIDE 46..70; /note="Omega-conotoxin-like CnVIIC"; /evidence="ECO:0000269|PubMed:22705119"; /id="PRO_0000419884"</t>
  </si>
  <si>
    <t>22705119</t>
  </si>
  <si>
    <t>Q5K0D2</t>
  </si>
  <si>
    <t>O19_CONST</t>
  </si>
  <si>
    <t>Omega-conotoxin-like 9</t>
  </si>
  <si>
    <t>MKLTCMMIAAVLFLTTWTFVTADDSRYGLKNLFPKARHEMKNPEASKLNKREGCSSGGTFCGIHPGLCCSEFCFLWCITFID</t>
  </si>
  <si>
    <t>PROPEP 23..51; /evidence="ECO:0000250"; /id="PRO_0000034944"</t>
  </si>
  <si>
    <t>PEPTIDE 52..82; /note="Omega-conotoxin-like 9"; /id="PRO_0000034945"</t>
  </si>
  <si>
    <t>DISULFID 54..69; /evidence="ECO:0000250"; DISULFID 61..73; /evidence="ECO:0000250"; DISULFID 68..77; /evidence="ECO:0000250"</t>
  </si>
  <si>
    <t>O00555</t>
  </si>
  <si>
    <t>CAC1A_HUMAN</t>
  </si>
  <si>
    <t>Homo sapiens (Human)</t>
  </si>
  <si>
    <t>Voltage-dependent P/Q-type calcium channel subunit alpha-1A (Brain calcium channel I) (BI) (Calcium channel, L type, alpha-1 polypeptide isoform 4) (Voltage-gated calcium channel subunit alpha Cav2.1)</t>
  </si>
  <si>
    <t>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t>
  </si>
  <si>
    <t>CONFLICT 895; /note="G -&gt; D (in Ref. 2; CAA68172 and 4; BAA94766)"; /evidence="ECO:0000305"; CONFLICT 952; /note="D -&gt; N (in Ref. 4; BAA94766)"; /evidence="ECO:0000305"; CONFLICT 963; /note="R -&gt; S (in Ref. 4; BAA94766)"; /evidence="ECO:0000305"; CONFLICT 1206; /note="E -&gt; EE (in Ref. 2; CAA68172)"; /evidence="ECO:0000305"; CONFLICT 1312..1314; /note="WNI -&gt; ILP (in Ref. 3; AAB49674/AAB49675/AAB49676/AAB49677/AAB49678)"; /evidence="ECO:0000305"; CONFLICT 1458; /note="G -&gt; A (in Ref. 2; CAA68172)"; /evidence="ECO:0000305"; CONFLICT 1603; /note="V -&gt; A (in Ref. 2; CAA68172)"; /evidence="ECO:0000305"; CONFLICT 1616; /note="V -&gt; A (in Ref. 2; CAA68172)"; /evidence="ECO:0000305"; CONFLICT 1692; /note="P -&gt; A (in Ref. 6; AAB33068)"; /evidence="ECO:0000305"; CONFLICT 2037; /note="E -&gt; G (in Ref. 8; U06702)"; /evidence="ECO:0000305"; CONFLICT 2325; /note="Missing (in Ref. 3; AAB49676/AAB49677)"; /evidence="ECO:0000305"</t>
  </si>
  <si>
    <t>ALTERNATIVE PRODUCTS:  Event=Alternative splicing; Named isoforms=6; Comment=Additional isoforms seem to exist.; Name=1; Synonyms=1A-1, BI-1-GGCAG {ECO:0000303|PubMed:8988170}; IsoId=O00555-8; Sequence=Displayed; Name=2; Synonyms=1A-2, BI-1 {ECO:0000303|PubMed:8988170}; IsoId=O00555-2; Sequence=VSP_059675, VSP_059676, VSP_059677, VSP_059681; Name=3; Synonyms=BI-1(V1) {ECO:0000303|PubMed:8988170}; IsoId=O00555-3; Sequence=VSP_059675, VSP_059678, VSP_059679, VSP_059681; Name=4; Synonyms=BI-1(V1)-GGCAG {ECO:0000303|PubMed:8988170}; IsoId=O00555-4; Sequence=VSP_059675, VSP_059678, VSP_059679, VSP_059682; Name=5; Synonyms=BI-1(V2) {ECO:0000303|PubMed:8988170}; IsoId=O00555-5; Sequence=VSP_059675, VSP_059680, VSP_059681; Name=6; Synonyms=BI-1(V2)-GGCAG {ECO:0000303|PubMed:8988170}; IsoId=O00555-6; Sequence=VSP_059675, VSP_059680, VSP_059682;</t>
  </si>
  <si>
    <t>10049321; 8898206; 8988170; 10753886; 15057824; 7823133; 1335101; 8525433; 11865310; 18400181; 9345107; 9302278; 10987655; 10408532; 10408533; 11409427; 11176968; 11439943; 11723274; 12420090; 15293273; 15032980; 15173248; 14718690; 16866717; 16325861; 18400034; 18602318; 19232643; 19429006; 20682717; 20129625; 21696515; 24836863; 26716990; 27476654; 27250579; 29053796; 28900389; 28742085; 33798445</t>
  </si>
  <si>
    <t>P27884</t>
  </si>
  <si>
    <t>CAC1A_RABIT</t>
  </si>
  <si>
    <t>Oryctolagus cuniculus (Rabbit)</t>
  </si>
  <si>
    <t>MARFGDEMPARYGGGGAGAAAGVVVGAAGGRGAGGSRQGGQPGAQRMYKQSMAQRARTMALYNPIPVRQNCLTVNRSLFLFSEDNVVRKYAKKITEWPPFEYMILATIIANCIVLALEQHLPDDDKTPMSERLDDTEPYFIGIFCFEAGIKIIALGFAFHKGSYLRNGWNVMDFVVVLTGILATVGTEFDLRTLRAVRVLRPLKLVSGIPSLQVVLKSIMKAMIPLLQIGLLLFFAILIFAIIGLEFYMGKFHTTCFEEGTDDIQGESPAPCGTEEPARTCPNGTRCQPYWEGPNNGITQFDNILFAVLTVFQCITMEGWTDLLYNSNDASGNTWNWLYFIPLIIIGSFFMLNLVLGVLSGEFAKERERVENRRAFLKLRRQQQIERELNGYMEWISKAEEVILAEDETDVEQRHPFDGALRRATIKKSKTDLLHPEEAEDQLADIASVGSPFARASIKSAKLENSSFFHKKERRMRFYIRRMVKTQAFYWTVLSLVALNTLCVAIVHYNQPEWLSDFLYYAEFIFLGLFMSEMFIKMYGLGTRPYFHSSFNCFDCGVIIGSIFEVIWAVIKPGTSFGISVLRALRLLRIFKVTKYWASLRNLVVSLLNSMKSIISLLFLLFLFIVVFALLGMQLFGGQFNFDEGTPPTNFDTFPAAIMTVFQILTGEDWNEVMYDGIKSQGGVQGGMVFSIYFIVLTLFGNYTLLNVFLAIAVDNLANAQELTKDEQEEEEAVNQKLALQKAKEVAEVSPLSAANMSIAMKEQQKNQKPAKSVWEQRTSEMRKQNLLASREALYSEMDPEERWKASYARHLRPDMKTHLDRPLVVDPQENRNNNTNKSRVAEPTVDQRLGQQRAEDFLRKQARHHDRARDPSAHAAAGLDARRPWAGSQEAELSREGPYGRESDHQAREGGLEPPGFWEGEAERGKAGDPHRRHAHRQGVGGSGGSRSGSPRTGTADGEPRRHRVHRRPGEDGPDDKAERRGRHREGSRPARSGEGEAEGPDGGGGGGGERRRRHRHGPPPAYDPDARRDDRERRHRRRKDTQGSGVPVSGPNLSTTRPIQQDLSRQEPPLAEDMDNLKNSRLATAEPVSPHENLSHAGLPQSPAKMGSSTDPAGPTPATAANPQNSTASRRTPNNPGNPSNPGPPKTPENSLIVTNPSTAQTNSAKTARKPDHTTVEIPPACPPPLNHTVVQVNKNANPDPLPKKEDEKKEEVDEGP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DNALKVFNIVFTSLFSLECLLKVLAFGILNYFRDAWNIFDFVTVLGSITDILVTEFGNNFINLSFLRLFRAARLIKLLRQGYTIRILLWTFVQSFKALPYVCLLIAMLFFIYAIIGMQVFGNIGIDMEDEDSDEDEFQITEHNNFRTFFQALMLLFRSATGEAWHNIMLSCLSGKPCDKNSGILTPECGNEFAYFYFVSFIFLCSFLMLNLFVAVIMDNFEYLTRDSSILGPHHLDEYVRVWAEYDPAAWGRMLYRDMYAMLRHMPPPLGLGKNCPARVAYKRLLRMDLPVADDNTVHFNSTLMALIRTALDIKIAKGGADKQQMDAELRKEMMAIWPNLSQKTLDLLVTPHKSTDLTVGKIYAAMMIMEYYRQSKAKKLQAMREEQNRTPLMFQRMEPPPDEGGAGQNALPSTQLDPAGGLMAHEDGLKDSPSWVTQRAQEMFQKTGTWSPERAPPADMADSQPKPQSVEMREMSQDGYSDSEHCLPMEGQARAASMPRLPAENQRRRGRPRGSDLSTICDTSPMKRSASVLGPKASRRLDDYSLERVPPEENQRHHPRRRERAHRTSERSLGRYTDVDTGLGTDLSMTTQSGDLPSREREQERGRPKDRKHRPHHHHHHHHHPGRGPGRVSPGVSARRRRRGPVARVRPARAPALAHARARARAPARLLPELRLRRARRPRPRQRRRPRRRRGGGGRALRRAPGPREPLAQDSPGRGPSVCLARAARPAGPQRLLPGPRTGQAPRARLPQKPARSVQRERRGLVLSPPPPPPGELAPRAHPARTPRPGPGDSRSRRGGRRWTASAGKGGGGPRASAPSP</t>
  </si>
  <si>
    <t>ALTERNATIVE PRODUCTS:  Event=Alternative splicing; Named isoforms=5; Name=BI-2; Synonyms=1A-2; IsoId=P27884-1; Sequence=Displayed; Name=BI-1; Synonyms=1A-1; IsoId=P27884-2; Sequence=VSP_000879, VSP_000880; Name=CBP101; Synonyms=CBP109; IsoId=P27884-3; Sequence=VSP_000878; Name=CBP103; IsoId=P27884-4; Sequence=VSP_000877; Name=CBP107; IsoId=P27884-5; Sequence=VSP_000876;</t>
  </si>
  <si>
    <t>1849233; 7509046; 11055992</t>
  </si>
  <si>
    <t>P54282</t>
  </si>
  <si>
    <t>CAC1A_RAT</t>
  </si>
  <si>
    <t>Rattus norvegicus (Rat)</t>
  </si>
  <si>
    <t>Voltage-dependent P/Q-type calcium channel subunit alpha-1A (Brain calcium channel I) (BI) (Calcium channel, L type, alpha-1 polypeptide, isoform 4) (Rat brain class A) (RBA-I) (Voltage-gated calcium channel subunit alpha Cav2.1)</t>
  </si>
  <si>
    <t>MARFGDEMPGRYGAGGGGSGPAAGVVVGAAGGRGAGGSRQGGQPGAQRMYKQSMAQRARTMALYNPIPVRQNCLTVNRSLFLFSEDNVVRKYAKKITEWPPFEYMILATIIANCIVLALEQHLPDDDKTPMSERLDDTEPYFIGIFCFEAGIKIVALGFAFHKGSYLRNGWNVMDFVVVLTGILATVGTEFDLRTLRAVRVLRPLKLVSGIPSLQVVLKSIMKAMIPLLQIGLLLFFAILIFAIIGLEFYMGKFHTTCFEEGTDDIQGESPAPCGTEEPARTCPNGTKCQPYWEGPNNGITQFDNILFAVLTVFQCITMEGWTDLLYNSNDASGNTWNWLYFIPLIIIGSFFMLNLVLGVLSGEFAKERERVENRRAFLKLRRQQQIERELNGYMEWISKAEEVILAEDETDVEQRHPFDGALRRATLKKSKTDLLNPEEAEDQLADIASVGSPFARASIKSAKLENSTFFHKKERRMRFYIRRMVKTQAFYWTVLSLVALNTLWLAIVHYNQPEWLSDFLYYAEFIFLGLFMSEMFIKMYGLGTRPYFHSSFNCFDCGVIIGSIFEVIWAVIKPGTSFGISVLRALRLLRIFKVTKYWASLRNLVVSLLNSMKSIISLLFLLFLFIVVFALLGMQLFGGQFNFDEGTPPTNFDTFPAAIMTVFQILTGEDWNEVMYDEIKSQGGVQGGMVFSIYFIVLTLFGNYTLLNVFLAIAVDNLANAQELTKDEQEEEEAANQKLALQKAKEVAEVSPLSAANMSIAVKEQQKNQKPAKSVWEQRTSEMRKQNLLASREALYGDAAERWPTTYARPLRPDVKTHLDRPLVVDPQENRNNNTNKSRAPEALRQTARPRESARDPDARRAWPSSPERAPGREGPYGRESEPQQREHAPPREHVPWDADPERAKAGDAPRRHTHRPVAEGEPRRHRARRRPGDEPDDRPERRPRPRDATRPARAADGEGDDGERKRRHRHGPPAHDDRERRHRRRKESQGSGVPMSGPNLSTTRPIQQDLGRQDLPLAEDLDNMKNNKLATGEPASPHDSLGHSGLPPSPAKIGNSTNPGPALATNPQNAASRRTPNNPGNPSNPGPPKTPENSLIVTNPSSTQPNSAKTARKPEHMAVEIPPACPPLNHTVVQVNKNANPDPLPKKEEEKKEEEEADPGEDGPKPMPPYSSMFILSTTNPLRRLCHYILNLRYFEMCILMVIAMSSIALAAEDPVQPNAPRNNVLRYFDYVFTGVFTFEMVIKMIDLGLVLHQGAYFRDLWNILDFIVVSGALVAFAFTGNSKGKDINTIKSLRVLRVLRPLKTIKRLPKLKAVFDCVVNSLKNVFNILIVYMLFMFIFAVVAVQLFKGKFFHCTDESKEFERDCRGKYLLYEKNEVKARDREWKKYD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GEDEDSDEDEFQITEHNNFRTFFQALMLLFRSATGEAWHNIMLSCLSGKPCDKNSGIQKPECGNEFAYFYFVSFIFLCSFLMLNLFVAVIMDNFEYLTRDSSILGPHHLDEYVRVWAEYDPAACGRIHYKDMYSLLRVISPPLGLGKKCPHRVACKRLLRMDLPVADDNTVHFNSTLMALIRTALDIKIAKGGADKQQMDAELRKEMMAIWPNLSQKTLDLLVTPHKSTDLTVGKIYAAMMIMEYYRQSKAKKLQAMREEQNRTPLMFQRMEPPSPTQEGGPSQNALPSTQLDPGGGLMAQESSMKESPSWVTQRAQEMFQKTGTWSPERGPPIDMPNSQPNSQSVEMREMGTDGYSDSEHYLPMEGQTRAASMPRLPAENQRRRGRPRGNNLSTISDTSPMKRSASVLGPKARRLDDYSLERVPPEENQRYHQRRRDRGHRTSERSLGRYTDVDTGLGTDLSMTTQSGDLPSKDRDQDRGRPKDRKHRPHHHHHHHHHHPPAPDRERYAQERPDTGRARAREQRWSRSPSEGREHATHRQ</t>
  </si>
  <si>
    <t>ALTERNATIVE PRODUCTS:  Event=Alternative splicing; Named isoforms=4; Comment=Additional isoforms seem to exist.; Name=1; IsoId=P54282-1; Sequence=Displayed; Name=2; Synonyms=RKC8; IsoId=P54282-2; Sequence=VSP_000881; Name=3; Synonyms=RBA-65; IsoId=P54282-3; Sequence=Not described; Name=4; IsoId=P54282-4; Sequence=Not described;</t>
  </si>
  <si>
    <t>1648226; 1279681; 1692134; 1311418; 11865310; 22673903</t>
  </si>
  <si>
    <t>Q05152</t>
  </si>
  <si>
    <t>CAC1B_RABIT</t>
  </si>
  <si>
    <t>Voltage-dependent N-type calcium channel subunit alpha-1B (Brain calcium channel III) (BIII) (Calcium channel, L type, alpha-1 polypeptide isoform 5) (Voltage-gated calcium channel subunit alpha Cav2.2)</t>
  </si>
  <si>
    <t>MVRFGDELGGRYGGAGGAERARGGGAGGAGGPGPGGLPPGQRVLYKQSIAQRARTMALYNPIPVKQNCFTVNRSLFVFSEDNVVRKYAKRITEWPPFEYMILATIIANCIVLALEQHLPDGDKTPMSERLDDTEPYFIGIFCFEAGIKILALGFVLHKGSYLRNGWNVMDFVVVLTGILATAGTDFDLRTLRAVRVLRPLKLVSGIPSLQVVLKSIMKAMVPLLQIGLLLFFAILMFAIIGLEFYMGKFHKACFPNSTDPDPVGDFPCGKEAPARLCEGDTECREYWAGPNFGITNFDNILFAILTVFQCITMEGWTDILYNTNDAAGNTWNWLYFIPLIIIGSFFMLNLVLGVLSGEFAKERERVENRRAFLKLRRQQQIERELNGYLEWIFKAEEVMLAEEDRNAEEKSPLDAVLKRAAAKKSRSDLIQAEEGEGRLTGLCAPGSPFARASLKSGKTESSSYFRRKEKMFRFFIRRMVKAQSFYWTVLCVVALNTLCVAMVHYNQPQRLTTALYFAEFVFLGLFLTEMSLKMYGLGPRSYFRSSFNCFDFGVIVGSIFEVVWAAVKPGTSFGISVLRALRLLRIFKVTKYWNSLRNLVVSLLNSMKSIISLLFLLFLFIVVFALLGMQLFGGQFNFKDETPTTNFDTFPAAILTVFQILTGEDWNAVMYHGIESQGGVSRGMFSSFYFIVLTLFGNYTLLNVFLAIAVDNLANAQELTKDEEEMEEAANQKLALQKAKEVAEVSPMSAANISIAARQQNSAKARSVWEQRASQLRLQNLRASCEALYSEMDPEERLRYATARHLRPDVKTHLDRPLVVEPGRDAPRGPPGGKSRPDGSEAPEGADPPRRHHRHRDKDKAPATVPSAGEQDRAEALRAEGGELGPREERGRPRRSRSKEAPGAPEVRSDRGRGPCPEGGRRHHRRGSPEEAAEREPRRHRAHRHGPDPGKEGPASGTRGERRARHRTGPRACPREAESSEEPARRHRARHKAPPTQETAEKDKEAAEKGGEATEAEKDKEARNHQPKELPCDLEAIGMLGVGAVHTLPSTCLQKVEEQPEDADNQRNVTRMGSQPPDTSTTVHIPVTLTGPPGETTVVPSGNVDLESQAEGKKEVETSDVMRSGPRPIVPYSSMFCLSPTNLLRRCCHYIVTMRYFEMVILVVIALSSIALAAEDPVRTDSPRNNALKYMDYIFTGVFTFEMVIKMIDLGLLLHPGAYFRDLWNILDFIVVSGALVAFAFSGSKGKDISTIKSLRVLRVLRPLKTIKRLPKLKAVFDCVVNSLKNVLNILIVYMLFMFIFAVIAVQLFKGKFFYCTDESKELERDCRGQYLDYEKEEVEAQPRQWKKYDFHYDNVLWALLTLFTVSTGEGWPMVLKHSVDATYEEQGPSPGYRMELSIFYVVYFVVFPFFFVNIFVALIIITFQEQGDKVMSECSLEKNERACIDFAISARPLTRYMPQNKQSFQYKTWTFVVSPPFEYFIMAMIALNTVVLMMKFYDAPYEYELMLKCLNIVFTSMFSMECVLKIIAFGVLNYFRDAWNVFDFVTVLGSITDILVTEIANNFINLSFLRLFRAARLIKLLRQGYTIRILLWTFVQSFKALPYVCLLIAMLFFIYAIIGMQVFGNIALDDDTSINRHNNFRTFLQALMLLFRSATGEAWHEIMLSCLSSRACDEHSNASECGSDFAYFYFVSFIFLCSFLMLNLFVAVIMDNFEYLTRDSSILGPHHLDEFIRVWAEYDPAACGRISYSDMFEMLKHMSPPLGLGKKCPARVAYKRLVRMNMPISSEDMTVHFTSTLMALIRTALDIKLAPAGTKQHQCDAELRKEISCVWANLPQKTLDLLVPPHKPDEMTVGKVYAALMIFDFYKQNKTSRDQTQQAPGGLSQLGPVSLFHPLKATLEQTQPALRGARAFLRQKSSASLSNGGAVQTQESGIKESVSWGTQRTQDVLCEARAPLERGHSAEIPVGQPGTLAVDVQMQNMTLSGPDAEPQPGLESQGRAASMPRLAAETQPAPDASPMKRSISTLAPRPHTARLGSTALDRPAPSQAPHHHHHRCHRRRDRKQRSLEKGPSLSADTDGAPDSTVGPGLPTGEGPPGCRRERERRQERGRSQERRQPSSSSSEKHRFYSCDRFGGREPPQPKPSLSSHPTSPTAGQEPGPHPQGSGSVHGSPLLSTSGASTPGRGRRQLPQTPLTPRPSVTYKTANSSPVHFAGAPSGLPAFSPGRLSRGLSEHNALLQRDPLSRPLAPGSRIGSDPYLGQRLDSEAPARALPEDAPAFEETAASNSGRSSRTSYVSSLTSQPPPLRRVPNGYHCTLGLGGGGRARRGCHHPDRDRRC</t>
  </si>
  <si>
    <t>PTM: Phosphorylated in vitro by CaM-kinase II, PKA, PKC and CGPK. {ECO:0000250}.</t>
  </si>
  <si>
    <t>8386525</t>
  </si>
  <si>
    <t>O35505</t>
  </si>
  <si>
    <t>CAC1C_CAVPO</t>
  </si>
  <si>
    <t>Cavia porcellus (Guinea pig)</t>
  </si>
  <si>
    <t>Voltage-dependent L-type calcium channel subunit alpha-1C (Calcium channel, L type, alpha-1 polypeptide, isoform 1, cardiac muscle) (Voltage-gated calcium channel subunit alpha Cav1.2)</t>
  </si>
  <si>
    <t>MVPLVQPTTPAYRPLPSHLSADTEVRGRGTLVHEAQLNCFYISPGGSNYGSPRPAHANINANAAAGLAPEHIPTPGAALSWQAAIDAGRQAKLMGSAGNTTISTVSSTQRKRQQYGKPKKQSGTTATRPPRALLCLTLKNPIRRACISIVEWKPFEIIILLTIFANCVALAIYIPFPEDDSNATNSNLERVEYLFLIIFTVEAFLKVIAYGLLFHPNAYLRNGWNLLDFIIVVVGLFSAILEQATKADGANALGGKGAGFDVKALRAFRVLRPLRLVSGVPSLQVVLNSIIKAMVPLLHTALLVLFVIIIYAIIGLELFMGKMHKTCYNQEGITDVPAEEDPSPCALESGHGRQCQNGTVCKPGWDGPKHGITNFDNFAFAMLTVFQCITMEGWTDVLYWMQDAMGYELPWVYFVSLVIFGSFFVLNLVLGVLSGEFSKEREKAKARGDFQKLREKQQLEEDLKGYLDWITQAEDIDPENEDEGVDEEKPRNMSMPTSETESVNTENVAGGDIEGENCGARLAHRISKSKFSRYWRRWNRFCRRKCRAAVKSNVFYWLVIFLVFLNTLTIASEHYNQPHWLTEVQDTANKALLALFTAEMLLKMYSLGLQAYFVSLFNRLDCFIVCGGILETILVETKIMSPLGISVLRCVRLLRIFKITRYWNSLSNLVASLLNSVRSIASLLLLLFLFIIIFSLLGMQLFGGKFNFDEMRTRRSTFDNFPQSLLTVFQILTGEDWNSVMYDGIMAYGGPSFPGMLVCIYFIILFICGNYILLNVFLAIAVDNLADAESLTSAQKEEEEEKERKKLARTASPEKKQEVVEKPAVEETKEEKIELKSITADGESPPTTKINMDDLQPNENEDKSPYPNPDAAGEEDEEEPEMPVGPRPRPLSELHLKEKAVPMPEASAFFIFSPNNRFRLQCHRIVNDTIFTNLILFFILLSSISLAAEDPVQHTSFRNHILFYFDIVFTTIFTIEIALKMTAYGAFLHKGSFCRNYFNILDLLVVSVSLISFGIQSSAINVVKILRVLRVLRPLRAINRAKGLKHVVQCVFVAIRTIGNIVIVTTLLQFMFACIGVQLFKGKLYTCSDSSKQTEAECKGNYITYKDGEVDQPIIQPRSWENSKFDFDNVLAAMMALFTVSTFEGWPELLYRSIDSHTEDKGPIYNYRVEISIFFIIYIIIIAFFMMNIFVGFVIVTFQEQGEQEYKNCELDKNQRQCVEYALKARPLRRYIPKNQHQYKVWYVVNSTYFEYLMFVLILLNTICLAMQHYGQSCLFKIAMNILNMLFTGLFTVEMILKLIAFKPKHYFCDAWNTFDALIVVGSIVDIAITEVNPAEHTQCSPSMNAEENSRISITFFRLFRVMRLVKLLSRGEGIRTLLWTFIKSFQALPYVALLIVMLFFIYAVIGMQVFGKIALNDTTEINRNNNFQTFPQAVLLLFRCATGEAWQDIMLACMPGKKCAPESDPSNSTEGETPCGSSFAVFYFISFYMLCAFLIINLFVAVVMDNFDYLTRDWSILGPHHLDEFKRIWAEYDPEAKGRIKHLDVVTLLRRIQPPLGFGKLCPHRVACKRLVSMNMPLNSDGTAMFNATLFALVRTALRIKTEGNLEQANEELRAIIKKIWKRTSMKLLDQVVPPAGDDEVTVGKFYATFLIQEYFRKFKKRKEQGLVGKPSQRNALSLQAGLRTLHDIGPEIRRAISGDLTAEEELDKAMKEAVSAASEDDIFGRAGGLFGNHVSYYQSDSRSTFPQTFTTQRPLHINKAGNNQGDTESPSHEKLVDSTFTPSSYSSTGSNANINNANNTALGRFPHPAGYPSTVSTVEGHRPPSSPATWAQEATRKLGAMRCHSRESQIAVVCQEEPSQDKTYDVELNKDAEYCSEPSLLSTEMLSYKDDENRQLTPPEEDKGDTRPSPKKGFLRSASLGRRASFHLECLKRQKNHGGDISQKTVLPLHLVHHQALAVAGLSPLLQRSHSPTAIPRPCATPPATPGSRGWPPKPIPTLRLEGAESCEKLNSSFPSIHCSSWSEEPSPCGGGSSAARRARPVSLMVPSQAGAPGRQFHGSASSLAEAVLISEGLGQFAQDPKFIEVTTQELADACDMTIGEMENAADNILSGGAPQSPNGTLLPFVNCRDPGQDRAGGDEDEGCACALGRGWSEEELADSRVHVRSL</t>
  </si>
  <si>
    <t>CONFLICT 1460; /note="C -&gt; R (in Ref. 2; AAB62890)"; /evidence="ECO:0000305"; CONFLICT 1465; /note="D -&gt; E (in Ref. 2; AAB62890)"; /evidence="ECO:0000305"</t>
  </si>
  <si>
    <t>ALTERNATIVE PRODUCTS:  Event=Alternative splicing; Named isoforms=2; Name=1; IsoId=O35505-1; Sequence=Displayed; Name=2; IsoId=O35505-2; Sequence=VSP_060907;</t>
  </si>
  <si>
    <t>PTM: Phosphorylation by PKA at Ser-1927 activates the channel. Elevated levels of blood glucose lead to increased phosphorylation by PKA. {ECO:0000250|UniProtKB:Q01815}.</t>
  </si>
  <si>
    <t>DISULFID 345..361; /evidence="ECO:0000250|UniProtKB:P07293"; DISULFID 1087..1098; /evidence="ECO:0000250|UniProtKB:P07293"; DISULFID 1460..1476; /evidence="ECO:0000250|UniProtKB:P07293"</t>
  </si>
  <si>
    <t>10101289; 11058528</t>
  </si>
  <si>
    <t>O55017</t>
  </si>
  <si>
    <t>CAC1B_MOUSE</t>
  </si>
  <si>
    <t>Mus musculus (Mouse)</t>
  </si>
  <si>
    <t>MVRFGDELGGRYGGTGGGERARGGGAGGAGGPGQGGLPPGQRVLYKQSIAQRARTMALYNPIPVKQNCFTVNRSLFVFSEDNVVRKYAKRITEWPPFEYMILATIIANCIVLALEQHLPDGDKTPMSERLDDTEPYFIGIFCFEAGIKIIALGFVFHKGSYLRNGWNVMDFVVVLTGILATAGTDFDLRTLRAVRVLRPLKLVSGIPSLQVVLKSIMKAMVPLLQIGLLLFFAILMFAIIGLEFYMGKFHKACFPNSTDTEPVGDFPCGKDPPARQCDGDTECREYWPGPNFGITNFDNILFAILTVFQCITMEGWTDILYNTNDAAGNTWNWLYFIPLIIIGSFFMLNLVLGVLSGEFAKERERVENRRAFLKLRRQQQIERELNGYLEWIFKAEEVMLAEEDKNAEEKSPLDVLKRAATKKSRNDLIHAEEGEDRFVDLCAVGSPFARASLKSGKTESSSYFRRKEKMFRFFIRRMVKAQSFYWVVLCVVALNTLCVAMVHYNQPQRLTTALYFAEFVFLGLFLTEMSLKMYGLGPRSYFRSSFNCFDFGVIVGSIFEVVWAAIKPGTSFGISVLRALRLLRIFKVTKYWNSLRNLVVSLLNSMKSIISLLFLLFLFIVVFALLGMQLFGGQFNFQDETPTTNFDTFPAAILTVFQILTGEDWNAVMYHGIESQGGVSKGMFSSFYFIVLTLFGNYTLLNVFLAIAVDNLANAQELTKDEEEMEEAANQKLALQKAKEVAEVSPMSAANISIAARQQNSAKARSVWEQRASQLRLQNLRASCEALYSEMDPEERLRYASTRHVRPDMKTHMDRPLVVEPGRDGLRGPVGSKSKPEGTEATESADLPRRHHRHRDRDKTSATAPAGGEQDRTESTETGAREERARPRRSHSKETPGADTQVRCERSRRHHRRGSPEEATEREPRRHRAHRHAQDSSKEGTAPVLVPKGERRARHRGPRTGPREAENNEEPTRRHRARHKVPPTLQPPEREAAEKESNAVEGDKETRNHQPKEPHCDLEAIAVTGVGPLHMLPSTCLQKVDEQPEDADNQRNVTRMGSQPSDPSTTVHVPVTLTGPPGETPVVPSGNMNLEGQAEGKKEAEADDVLRRGPRPIVPYSSMFCLSPTNLLRRFCHYIVTMRYFEMVILVVIALSSIALAAEDPVRTDSFRNNALKYMDYIFTGVFTFEMVIKMIDLGLLLHPGAYFRDLWNILDFIVVSGALVAFAFSSFMGGSKGKDINTIKSLRVLRVLRPLKTIKRLPKLKAVFDCVVNSLKNVLNILIVYMLFMFIFAVIAVQLFKGKFFYCTDESKELERDCRGQYLDYEKEEVEAQPRQWKKYDFHYDNVLWALLTLFTVSTGEGWPMVLKHSVDATYEEQGPSPGFRMELSIFYVVYFVVFPFFFVNIFVALIIITFQEQGDKVMSECSLEKNERACIDFAISAKPLTRYMPQNKQSFQYKTWTFVVSPPFEYFIMAMIALNTVVLMMKFYDAPYEYELMLKCLNIVFTSMFSMECILKIIAFGVLNYFRDAWNVFDFVTVLGSITDILVTEIANNFINLSFLRLFRAARLIKLLRQGYTIRILLWTFVQSFKALPYVCLLIAMLFFIYAIIGMQVFGNIALDDDTSINRHNNFRTFLQALMLLFRSATGEAWHEIMLSCLGNRACDPHANASECGSDFAYFYFVSFIFLCSFLMLNLFVAVIMDNFEYLTRDSSILGPHHLDEFIRVWAEYDPAACGRISYNDMFEMLKHMSPPLGLGKKCPARVAYKRLVRMNMPISNEDMTVHFTSTLMALIRTALEIKLAPAGTKQHQCDAELRKEISSVWANLPQKTLDLLVPPHKPDEMTVGKVYAALMIFDFYKQNKTTRDQTHQAPGGLSQMGPVSLFHPLKATLEQTQPAVLRGARVFLRQKSATSLSNGGAIQTQESGIKESLSWGTQRTQDALYEARAPLERGHSAEIPVGQSGTLAVDVQMQNMTLRGPDGEPQPGLESQGRAASMPRLAAETQPAPNASPMKRSISTLAPRPHGTQLCSTVLDRPPPSQASHHHHHRCHRRRDKKQRSLEKGPSLSVDPEGAPSTAAGPGLPHGEGSTACRRDRKQERGRSQERRQPSSSSSEKQRFYSCDRFGSREPPQLMPSLSSHPTSPTAALEPAPHPQGSGSVNGSPLMSTSGASTPGRGGRRQLPQTPLTPRPSITYKTANSSPVHFAEGQSGLPAFSPGRLSRGLSEHNALLQKEPLSQPLAPGSRIGSDPYLGQRLDSEASAHTLPEDTLTFEEAVATNSGRSSRTSYVSSLTSQSHPLRRVPNGYHCTLGLSTGVRARHSYHHPDQDHWC</t>
  </si>
  <si>
    <t>CONFLICT 238; /note="A -&gt; G (in Ref. 2; AAB60437)"; /evidence="ECO:0000305"; CONFLICT 645; /note="N -&gt; I (in Ref. 2; AAB60437)"; /evidence="ECO:0000305"; CONFLICT 757..759; /note="RQQ -&gt; QE (in Ref. 2; AAB60437)"; /evidence="ECO:0000305"; CONFLICT 880; /note="A -&gt; P (in Ref. 2; AAB60437)"; /evidence="ECO:0000305"; CONFLICT 1128; /note="L -&gt; F (in Ref. 2; AAB60437)"; /evidence="ECO:0000305"; CONFLICT 1173; /note="K -&gt; E (in Ref. 2; AAB60437)"; /evidence="ECO:0000305"; CONFLICT 1185; /note="F -&gt; C (in Ref. 2; AAB60437)"; /evidence="ECO:0000305"; CONFLICT 1227..1230; /note="Missing (in Ref. 2; AAB60437)"; /evidence="ECO:0000305"; CONFLICT 1388; /note="F -&gt; L (in Ref. 2; AAB60437)"; /evidence="ECO:0000305"; CONFLICT 1549; /note="A -&gt; AET (in Ref. 2; AAB60437)"; /evidence="ECO:0000305"; CONFLICT 1615; /note="I -&gt; S (in Ref. 2; AAB60437)"; /evidence="ECO:0000305"; CONFLICT 1636; /note="L -&gt; I (in Ref. 2; AAB60437)"; /evidence="ECO:0000305"; CONFLICT 1657; /note="G -&gt; D (in Ref. 2; AAB60437)"; /evidence="ECO:0000305"; CONFLICT 1802..1837; /note="Missing (in Ref. 2; AAB60437)"; /evidence="ECO:0000305"; CONFLICT 1942; /note="A -&gt; G (in Ref. 2; AAB60437)"; /evidence="ECO:0000305"; CONFLICT 1949; /note="G -&gt; D (in Ref. 2; AAB60437)"; /evidence="ECO:0000305"; CONFLICT 1963; /note="A -&gt; L (in Ref. 2; AAB60437)"; /evidence="ECO:0000305"; CONFLICT 1979; /note="E -&gt; D (in Ref. 2; AAB60437)"; /evidence="ECO:0000305"; CONFLICT 1994; /note="P -&gt; L (in Ref. 2; AAB60437)"; /evidence="ECO:0000305"; CONFLICT 2021; /note="H -&gt; D (in Ref. 2; AAB60437)"; /evidence="ECO:0000305"; CONFLICT 2075; /note="A -&gt; AA (in Ref. 2; AAB60437)"; /evidence="ECO:0000305"; CONFLICT 2141; /note="T -&gt; A (in Ref. 2; AAB60437)"; /evidence="ECO:0000305"; CONFLICT 2168; /note="S -&gt; I (in Ref. 2; AAB60437)"; /evidence="ECO:0000305"; CONFLICT 2309; /note="S -&gt; N (in Ref. 2; AAB60437)"; /evidence="ECO:0000305"; CONFLICT 2313; /note="R -&gt; G (in Ref. 2; AAB60437)"; /evidence="ECO:0000305"; CONFLICT 2316; /note="H -&gt; A (in Ref. 2; AAB60437)"; /evidence="ECO:0000305"</t>
  </si>
  <si>
    <t>ALTERNATIVE PRODUCTS:  Event=Alternative splicing; Named isoforms=2; Name=NB1; IsoId=O55017-1; Sequence=Displayed; Name=NB2; IsoId=O55017-2; Sequence=VSP_000883;</t>
  </si>
  <si>
    <t>8307146; 11438518; 16452087; 17114649; 21183079; 24129315; 24709664</t>
  </si>
  <si>
    <t>Q07652</t>
  </si>
  <si>
    <t>CAC1E_RAT</t>
  </si>
  <si>
    <t>Voltage-dependent R-type calcium channel subunit alpha-1E (BII) (Brain calcium channel II) (Calcium channel, L type, alpha-1 polypeptide, isoform 6) (RBE-II) (RBE2) (Voltage-gated calcium channel subunit alpha Cav2.3)</t>
  </si>
  <si>
    <t>MALYNPIPVRQNCFTVNRSLFIFGEDNIVRKYAKKLIDWPPFEYMILATIIANCIVLALEQHLPEDDKTPMSRRLEKTEPYFIGIFCFEAGIKIVALGFIFHKGSYLRNGWNVMDFIVVLSGILATAGTHFNTHVDLRTLRAVRVLRPLKLVSGIPSLQIVLKSIMKAMVPLLQIGLLLFFAILMFAIIGLEFYSGKLHRACFMNNSGILEGFDPPHPCGVQGCPAGYECKDWIGPNDGITQFDNILFAVLTVFQCITMEGWTTVLYNTNDALGATWNWLYFIPLIIIGSFFVLNLVLGVLSGEFAKERERVENRRAFMKLRRQQQIERELNGYRAWIDKAEEVMLAEENKNSGTSALEVLRRATIKRSRTEAMTRDSSDEHCVDISSVGTPLARASIKSTKVDGASYFRHKERLLRISIRHMVKSQVFYWIVLSV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RHMQMSSQEALNKEEAPPMNPLNPLNPLSPLNPLNAHPSLYRRPRPIEGLALGLGLEKCEEERISRGGSLKGDIGGLTSVLDNQRSPLSLGKREPPWLPRSCHGNCDPTQQETGGGETVVTFEDRARHRQSQRRSRHRRVRTEGKESASASRSRSASQERSLDEGVSIDGEKEHEPQSSHRSKEPTIHEEERTQDLRRTNSLMVPRGSGLVGALDEAETPLVQPQPELEVGKDAALTEQEAEGSSEQALLADVQLDVGRGISQSEPDLSCMTTNMDKATTESTSVTVAIPDVDPLVDSTVVNISNKTDGEASPLKEAETKEEEEEVEKKKQKKEKRETGKAMVPHSSMFIFSTTNPIRK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WTYELALKYLNIAFTMVFSLECVLKVIAFGFLNYFRDTWNIFDFITVIGSITEIILTDSKLVNTSGFNMSFLKLFRAARLIKLLRQGYTIRILLWTFVQSFKALPYVCLLIAMLFFIYAIIGMQVFGNIKLDEESHINRHNNFRSFFGSLMLLFRSATGEAWQEIMLSCLGEKGCEPDTTAPSGQNESERCGTDLAYVYFVSFIFFCSFLMLNLFVAVIMDNFEYLTRDSSILGPHHLDEFVRVWAEYDRAACGRIHYTEMYEMLTLMSPPLGLGKRCPSKVAYKRLVLMNMPVAEDMTVHFTSTLMALIRTALDIKIAKGGADRQQLDSELQKETLAIWPHLSQKMLDLLVPMPKASDLTVGKIYAAMMIMDYYKQSKVKKQRQQLEEQKNAPMFQRMEPSSLPQEIISNAKALPYLQQDPVSGLSGRSGYPSMSPLSPQEIFQLACMDPADDGQFQEQQSLVVTDPSSMRRSFSTIRDKRSNSSWLEEFSMERSSENTYKSRRRSYHSSLRLSAHRLNSDSGHKSDTHRSGGRERGRSKERKHLLSPDVSRCNSEERGTQADWESPERRQSRSPSEGRSQTPNRQGTGSLSESSIPSISDTSTPRRSRRQLPPVPPKPRPLLSYSSLMRHTGGISPPPDGSEGGSPLASQALESNSACLTESSNSLHPQQGQHPSPQHYISEPYLALHEDSHASDCGEEETLTFEAAVATSLGRSNTIGSAPPLRHSWQMPNGHYRRRRLGGLGLAMMCGAVSDLLSDTEEDDKC</t>
  </si>
  <si>
    <t>8388125; 22673903</t>
  </si>
  <si>
    <t>Q9JIS7</t>
  </si>
  <si>
    <t>CAC1F_MOUSE</t>
  </si>
  <si>
    <t>Voltage-dependent L-type calcium channel subunit alpha-1F (Voltage-gated calcium channel subunit alpha Cav1.4)</t>
  </si>
  <si>
    <t>MSESEVGKDTTPEPSPANGTGPGPEWGLCPGPPTVGTDTSGASGLGTPRRRTQHNKHKTVAVASAQRSPRALFCLTLTNPIRRSCISIVEWKPFDILILLTIFANCVALGVYIPFPEDDSNTANHNLEQVEYVFLVIFTVETVLKIVAYGLVLHPSAYIRNGWNLLDFIIVVVGLFSVLLEQGPGRPGDAPHTGGKPGGFDVKALRAFRVLRPLRLVSGVPSLHIVVNSIMKALVPLLHIALLVLFVIIIYAIIGLELFLGRMHKTCYFLGSDMEAEEDPSPCASSGSGRSCTLNHTECRGRWPGPNGGITNFDNFFFAMLTVFQCITMEGWTDVLYWMQDAMGYELPWVYFVSLVIFGSFFVLNLVLGVLSGEFSKEREKAKARGDFQKLREKQQMEEDLRGYLDWITQAEELDLHDPSVDGNLASLAEEGRAGHRPQLSELTNRRRGRLRWFSHSTRSTHSTSSHASLPASDTGSMTDTPGDEDEEEGTMASCTRCLNKIMKTRICRHFRRANRGLRARCRRAVKSNACYWAVLLLVFLNTLTIASEHHGQPLWLTQTQEYANKVLLCLFTVEMLLKLYGLGPSVYVASFFNRFDCFVVCGGILETTLVEVGAMQPLGISVLRCVRLLRIFKVTRHWASLSNLVASLLNSMKSIASLLLLLFLFIIIFSLLGMQLFGGKFNFDQTHTKRSTFDTFPQALLTVFQILTGEDWNVVMYDGIMAYGGPFFPGMLVCVYFIILFICGNYILLNVFLAIAVDNLASGDAGTAKDKGREKSSEGNPPKENKVLVPGGENEDAKGARSEGAAPGMEEEEEEEEEEEEEEEEEEENGAGHVELLQEVVPKEKVVPIPEGSAFFCLSQTNPLRKACHTLIHHHIFTSLILVFIILSSVSLAAEDPIRAHSFRNHILGYFDYAFTSIFTVEILLKMTVFGAFLHRGSFCRSWFNLLDLLVVSVSLISFGIHSSAISVVKILRVLRVLRPLRAINRAKGLKHVVQCVFVAIRTIGNIMIVTTLLQFMFACIGVQLFKGKFYSCTDEAKHTLKESKGSFLIYPDGDVSRPLVRERLWVNSDFNFDNVLSAMMALFTVSTFEGWPALLYKAIDANAEDEGPIYNYHVEISVFFIVYIIIIAFFMMNIFVGFVIITFRAQGEQEYQNCELDKNQRQCVEYALKAQPLRRYIPKNPHQYRVWATVNSRAFEYLMFLLILLNTVALAMQHYEQTAPFNYAMDILNMVFTGLFTIEMVLKIIAFKPKHYFADAWNTFDALIVVGSVVDIAVTEVNNGGHLGESSEDTSRISITFFRLFRVMRLVKLLSKGEGIRTLLWTFIKSFQALPYVALLIAMIFFIYAVIGMQMFGLVALQDGTQINRNNNFQTFPQAVLLLFRCATGEAWQEIMLASLPGNRCDPESDFGPGEEFTCGSSFAIVYFISFFMLCAFLIINLFVAVIMDNFDYLTRDWSILGPHHLDEFKRIWSEYDPGAKGRIKHLDVVALLRRIQPPLGFGKLCPHRVACKRLVAMNVPLNSDGTVTFNATLFALVRTSLKIKTEGNLDQANQELRMVIKKIWKRIKQKLLDEVIPPPDEEEVTVGKFYATFLIQDYFRKFRRRKEKGLLGREAPTSTSSALQAGLRSLQDLGPEIRQALTYVTEEEEEEEEAVGQEAEEEEAENNPEPYKDSIDSQPQSRWNSRISVSLPVKEKLPDSLSTGPSDDDGLAPNSRQPSVIQAGSQPHRRSSGVFMFTIPEEGSIQLKGTQGQDNQNEEQELPDWTPDLDRAGRDSFEPSPFTTSLVQQHVNGHMSTPTFAAPHACRSEPSFTIQCLQRLGSCEDLPIPGTYHRGRTSGPSRAQGSWAAPPQKGRLLYAPLLLVEESTVGEGYLGKLGGPLRTFTCLQVPGAHPNPSHRKRGSADSLVEAVLISEGLGLFAQDPRFVALAKQEIADACHLTLDEMDSAASDLLAQRTISLYSDEESILSRFDEEDLGDEMACVHAL</t>
  </si>
  <si>
    <t>10873387; 15452577</t>
  </si>
  <si>
    <t>O42398</t>
  </si>
  <si>
    <t>CAC1S_CHICK</t>
  </si>
  <si>
    <t>Gallus gallus (Chicken)</t>
  </si>
  <si>
    <t>Voltage-dependent L-type calcium channel subunit alpha-1S (Voltage-gated calcium channel subunit alpha Cav1.1)</t>
  </si>
  <si>
    <t>VGFVIVTFQEQGESEYKNCELDKNQRQCVQYALKARPLRRYIPKNPYQYQIWYVVTSSYFEYLMFFLIMLNTICLGMQHYNQSAEMNHVSDILNVAFTVLFTLEMILKLMAFKAKGYFGDPWNVFDFLIVIGSIIDVILSEIDDPDDNSRVSITFFRLFRVMRLVKLLSRGEGVRTLLWTFIKSFQALPYVALLIVMLFFIYAVIGMQMFGKIAMVDGTQINRNNNFQTFPQAVLLLFRCATGEAWQEILLDCSYGKRCDPESDYAEGEEYTCGTGFAYFY</t>
  </si>
  <si>
    <t>PTM: The alpha-1S subunit is found in two isoforms in the skeletal muscle: a minor form of 212 kDa containing the complete amino acid sequence, and a major form of 190 kDa derived from the full-length form by post-translational proteolysis close to Phe-1690. {ECO:0000250|UniProtKB:P07293}.; PTM: Both the minor and major forms are phosphorylated in vitro by PKA. Phosphorylation by PKA activates the calcium channel. {ECO:0000250|UniProtKB:P07293}.</t>
  </si>
  <si>
    <t>DISULFID 259..273; /evidence="ECO:0000250|UniProtKB:P07293"</t>
  </si>
  <si>
    <t>P22316</t>
  </si>
  <si>
    <t>CAC1S_CYPCA</t>
  </si>
  <si>
    <t>Cyprinus carpio (Common carp)</t>
  </si>
  <si>
    <t>Dihydropyridine-sensitive L-type skeletal muscle calcium channel subunit alpha-1</t>
  </si>
  <si>
    <t>MESGSGGGGGGGVAALASFIMNEEELKRKQREKLKKLQATGGNPRPPRSLFFFTLKNPFRKTCINIVEWKPFEIIILLTIFANCVALAVFLPMPEEDTNNTNLTLESLEYIFLVIFTLECFLKIVAYGLLFHEGAYLRNCWNILDFVIVFMGLFTLVVDTINTIAGVPTEKGGGFDMKALRAFRVLRPLRLVSGVPSLQVVMSSILKSMLPLFHIALLVFFMVHIYAIMGLELFKCKMHKTCYYQGTNIIAVREGNEKPSPCAQAGHGRRCTINGTECRAGWPGPNFGITHFDNSCFAMLTVFQCITTESWTDVLYWINDAMGNDWPWIYFLTLILVGSFFILNLVLGALSGEFTKEREESRSRGEYQKLRERQQMDEDLEGYMEWITHAEVMDGDSEALLLLRKDTDSESDSLYQMLDQQVIYFYRLARRWNVVLRRKCHVWVKSKFFNWWVLLVVLLNTLVIAMEHHNQTEGLTSFQDTANVILLACFTIEMVMKMYAFGPRAYFMSIFNRFDCFVVTIGILEIILVVSNIMTPLGISVMRCIRLLRLFKLTRYWTSLNNLVASLLNSVKSIASLLLLLFLFIVIFALLGMQVFGGKFNFPDRVIQRSNFDNFPQALISVFQVLTGEEWDSIMYNGIMAHGGPQSPGILVSIYFIILYVCGNFVLLNVFLAIAVDNLAEAESLTAAQKEKAEEKARRKLMRTLPEKSEEEKALMAKRLMESRSKAEGMPTTAKLKIDEFESNVNEVKDPFPPADFPGDHEEVEPEIPISPRPRPMADLQLKETVVPIAEASSFFIFGPQHKFRKLCHRIVNHTTFTNIILLFILLSSISLAAEDPIDPRSFRNKVLAYADIVFTTVFTIEIVLKMTVYGAFLHTGSFCRNSFNILDLIVVGVSLLSMGMESSTISVVKILRVLRVLRPLRAINRAKGLKHVVQCMFVAIKTIGNIVLVTMLLDFMFACIGVQLFKGKLYYCTDPLQKTAEECQGTFLKHVPNSLHDIEVHQRMWVNSDFNFDNVLNGMLALFTISTFEGWPEILYKAIDSNAVDTGPLYNNRVGISIFFIIYIIIIAFFMMNIFVGFVIVTFQKQGEQEYKDCELDKNQRQCVQYALKARPLKCYIPKNPHQYRVWYFVTSCYFEYLMFFLIMLNTLCLGIQHCNQSDHITKLSDTLNLIFTVLFTGEMIVKLIAFKAKGYFGDPWNVFDFIIVVGSIVDVVLSEVDAALEARGGLWCLHGCAEVNPMQAIAEAENVRVSITFFRLFRVLRLIKLLNRSEGIRNLLWTFIKSFQALPHVGLLIVMLFFIYAVIGMQMFGKVALVDGTEINRNNNFQTFPQAVLLLFRVATGEQWPKVILASMYGKLCDAKSDYGPGEEYTCGSSIAVFYFLSFYILCAFLIINLFVAIIMDNVDYLTRDWSILGPHHLDEFKKIWAEYDPEATGRIKHLDVVTLLRRIQPPLGFGKFCPHRSACKRLISMNMPLNSDGTVTFNATLFALVRTALKIKTEGNFEQANEELRAIIKSIWKRTSMKLLDQVIPPIGEDEVTVGKFYATFLIQEHFRKFMQRQEEYYGYRPTKKNADEIKAGLRSIEEEAAPELHRAISGDLIAEDDMERALEAGEEGIYRRTGGLFGLHTDPFSSEPSSPLSTQMTSQRPLQFVETRLEDIESPPDSVFLPNTEFFPDNMPTTTNTNNNANFVEDMSSRFTFENESLSAAATRNYSYEDIRGSSSYVGGASSVDDRRLSDFTVRTNITQFPYNPSYGPSKNQTATEASPATDKLIQQALRDGGLDSLAEDPKFVSVTRKELAEAINIGMEDMEGMAQGIVNRQSGKVTKRKRRPIPVPPGTKSTKPKENTSAV</t>
  </si>
  <si>
    <t>PTM: May be non-phosphorylated.</t>
  </si>
  <si>
    <t>1846962</t>
  </si>
  <si>
    <t>P07293</t>
  </si>
  <si>
    <t>CAC1S_RABIT</t>
  </si>
  <si>
    <t>Voltage-dependent L-type calcium channel subunit alpha-1S (Calcium channel, L type, alpha-1 polypeptide, isoform 3, skeletal muscle) (Dihydropyridine receptor alpha-1S subunit) (DHPR) (Voltage-gated calcium channel subunit alpha Cav1.1)</t>
  </si>
  <si>
    <t>MEPSSPQDEGLRKKQPKKPLPEVLPRPPRALFCLTLQNPLRKACISIVEWKPFETIILLTIFANCVALAVYLPMPEDDNNSLNLGLEKLEYFFLTVFSIEAAMKIIAYGFLFHQDAYLRSGWNVLDFIIVFLGVFTAILEQVNVIQSNTAPMSSKGAGLDVKALRAFRVLRPLRLVSGVPSLQVVLNSIFKAMLPLFHIALLVLFMVIIYAIIGLELFKGKMHKTCYYIGTDIVATVENEKPSPCARTGSGRPCTINGSECRGGWPGPNHGITHFDNFGFSMLTVYQCITMEGWTDVLYWVNDAIGNEWPWIYFVTLILLGSFFILNLVLGVLSGEFTKEREKAKSRGTFQKLREKQQLEEDLRGYMSWITQGEVMDVEDLREGKLSLEEGGSDTESLYEIEGLNKIIQFIRHWRQWNRVFRWKCHDLVKSRVFYWLVILIVALNTLSIASEHHNQPLWLTHLQDIANRVLLSLFTIEMLLKMYGLGLRQYFMSIFNRFDCFVVCSGILELLLVESGAMTPLGISVLRCIRLLRLFKITKYWTSLSNLVASLLNSIRSIASLLLLLFLFIIIFALLGMQLFGGRYDFEDTEVRRSNFDNFPQALISVFQVLTGEDWNSVMYNGIMAYGGPSYPGVLVCIYFIILFVCGNYILLNVFLAIAVDNLAEAESLTSAQKAKAEERKRRKMSRGLPDKTEEEKSVMAKKLEQKPKGEGIPTTAKLKVDEFESNVNEVKDPYPSADFPGDDEEDEPEIPVSPRPRPLAELQLKEKAVPIPEASSFFIFSPTNKVRVLCHRIVNATWFTNFILLFILLSSAALAAEDPIRAESVRNQILGYFDIAFTSVFTVEIVLKMTTYGAFLHKGSFCRNYFNILDLLVVAVSLISMGLESSTISVVKILRVLRVLRPLRAINRAKGLKHVVQCVFVAIRTIGNIVLVTTLLQFMFACIGVQLFKGKFFSCNDLSKMTEEECRGYYYVYKDGDPTQMELRPRQWIHNDFHFDNVLSAMMSLFTVSTFEGWPQLLYRAIDSNEEDMGPVYNNRVEMAIFFIIYIILIAFFMMNIFVGFVIVTFQEQGETEYKNCELDKNQRQCVQYALKARPLRCYIPKNPYQYQVWYVVTSSYFEYLMFALIMLNTICLGMQHYHQSEEMNHISDILNVAFTIIFTLEMILKLLAFKARGYFGDPWNVFDFLIVIGSIIDVILSEIDTFLASSGGLYCLGGGCGNVDPDESARISSAFFRLFRVMRLIKLLSRAEGVRTLLWTFIKSFQALPYVALLIVMLFFIYAVIGMQMFGKIALVDGTQINRNNNFQTFPQAVLLLFRCATGEAWQEILLACSYGKLCDPESDYAPGEEYTCGTNFAYYYFISFYMLCAFLIINLFVAVIMDNFDYLTRDWSILGPHHLDEFKAIWAEYDPEAKGRIKHLDVVTLLRRIQPPLGFGKFCPHRVACKRLVGMNMPLNSDGTVTFNATLFALVRTALKIKTEGNFEQANEELRAIIKKIWKRTSMKLLDQVIPPIGDDEVTVGKFYATFLIQEHFRKFMKRQEEYYGYRPKKDTVQIQAGLRTIEEEAAPEIRRTISGDLTAEEELERAMVEAAMEERIFRRTGGLFGQVDTFLERTNSLPPVMANQRPLQFAEIEMEELESPVFLEDFPQDARTNPLARANTNNANANVAYGNSNHSNNQMFSSVHCEREFPGEAETPAAGRGALSHSHRALGPHSKPCAGKLNGQLVQPGMPINQAPPAPCQQPSTDPPERGQRRTSLTGSLQDEAPQRRSSEGSTPRRPAPATALLIQEALVRGGLDTLAADAGFVTATSQALADACQMEPEEVEVAATELLKARESVQGMASVPGSLSRRSSLGSLDQVQGSQETLIPPRP</t>
  </si>
  <si>
    <t>CONFLICT 694; /note="T -&gt; R (in Ref. 2; AAA31159)"; /evidence="ECO:0000305"; CONFLICT 1808; /note="T -&gt; M (in Ref. 2; AAA31159)"; /evidence="ECO:0000305"; CONFLICT 1815; /note="A -&gt; V (in Ref. 2; AAA31159)"; /evidence="ECO:0000305"; CONFLICT 1835; /note="A -&gt; E (in Ref. 2; AAA31159)"; /evidence="ECO:0000305"</t>
  </si>
  <si>
    <t>PTM: The alpha-1S subunit is found in two isoforms in the skeletal muscle: a minor form of 212 kDa containing the complete amino acid sequence, and a major form of 190 kDa derived from the full-length form by post-translational proteolysis close to Phe-1690. {ECO:0000305|PubMed:3037387}.; PTM: Phosphorylated. Phosphorylation by PKA activates the calcium channel. Both the minor and major forms are phosphorylated in vitro by PKA (PubMed:2549550, PubMed:2844809). Phosphorylation at Ser-1575 is involved in beta-adrenergic-mediated regulation of the channel (PubMed:20937870). {ECO:0000269|PubMed:20937870, ECO:0000269|PubMed:2549550, ECO:0000269|PubMed:2844809}.</t>
  </si>
  <si>
    <t>DISULFID 226..254; /evidence="ECO:0000269|PubMed:27580036, ECO:0007744|PDB:5GJV, ECO:0007744|PDB:5GJW"; DISULFID 245..261; /evidence="ECO:0000269|PubMed:27580036, ECO:0007744|PDB:5GJV, ECO:0007744|PDB:5GJW"; DISULFID 957..968; /evidence="ECO:0000269|PubMed:27580036, ECO:0007744|PDB:5GJV, ECO:0007744|PDB:5GJW"; DISULFID 1338..1352; /evidence="ECO:0000269|PubMed:27580036, ECO:0007744|PDB:5GJV, ECO:0007744|PDB:5GJW"</t>
  </si>
  <si>
    <t>3037387; 2458626; 7509046; 2174553; 1656465; 1660150; 2844809; 2549550; 9465115; 10388749; 15201141; 20937870; 25548159; 27621462; 29078335; 28112192; 29467163; 10766780; 15134636; 25667046; 26680202; 27580036</t>
  </si>
  <si>
    <t>P0C8D9</t>
  </si>
  <si>
    <t>CKE_CONER</t>
  </si>
  <si>
    <t>Conus ermineus (Agate cone) (Chelyconus ermineus)</t>
  </si>
  <si>
    <t>Conantokin-E (Con-E)</t>
  </si>
  <si>
    <t>LLVPLVTFHLILGMGTLDHGGALTERRSADATALKPEPVLLQKSDARSTDDNDKDRLTQMKRILKKRGNKARGEEEHSKYQECLREIRVNNVQQEC</t>
  </si>
  <si>
    <t>SIGNAL &lt;1..24; /evidence="ECO:0000255"</t>
  </si>
  <si>
    <t>PROPEP 25..72; /evidence="ECO:0000305|PubMed:18586049"; /id="PRO_0000353125"</t>
  </si>
  <si>
    <t>PEPTIDE 73..96; /note="Conantokin-E"; /evidence="ECO:0000305|PubMed:18586049"; /id="PRO_0000353126"</t>
  </si>
  <si>
    <t>DISULFID 83..96; /evidence="ECO:0000305|PubMed:18586049"</t>
  </si>
  <si>
    <t>18586049</t>
  </si>
  <si>
    <t>P0C8E1</t>
  </si>
  <si>
    <t>CKP2_CONPI</t>
  </si>
  <si>
    <t>Conus parius (Cone snail)</t>
  </si>
  <si>
    <t>Conantokin-Pr2 (Con-Pr2)</t>
  </si>
  <si>
    <t>DEPEYAEAIREYQLKYGKI</t>
  </si>
  <si>
    <t>PEPTIDE 1..19; /note="Conantokin-Pr2"; /evidence="ECO:0000269|PubMed:17962189"; /id="PRO_0000353128"</t>
  </si>
  <si>
    <t>17962189</t>
  </si>
  <si>
    <t>P0C8E3</t>
  </si>
  <si>
    <t>CKP_CONPU</t>
  </si>
  <si>
    <t>Conus purpurascens (Purple cone)</t>
  </si>
  <si>
    <t>Conantokin-P (Con-P)</t>
  </si>
  <si>
    <t>MQLYTYLYLLVPLVTFHLILSTGTLAHGGTLTERRSTDTTALKPEPVLLQKSDARSTDDNDKDRLTQMKRILKKRGNKARGEEEHSKYQECLREIRVNKVQQEC</t>
  </si>
  <si>
    <t>SIGNAL 1..26; /evidence="ECO:0000255"</t>
  </si>
  <si>
    <t>PROPEP 27..80; /evidence="ECO:0000305|PubMed:18586049"; /id="PRO_0000353130"</t>
  </si>
  <si>
    <t>PEPTIDE 81..104; /note="Conantokin-P"; /evidence="ECO:0000305|PubMed:18586049"; /id="PRO_0000353131"</t>
  </si>
  <si>
    <t>DISULFID 91..104; /evidence="ECO:0000305|PubMed:18586049"</t>
  </si>
  <si>
    <t>P0DKZ0</t>
  </si>
  <si>
    <t>CKR1B_CONRO</t>
  </si>
  <si>
    <t>Conus rolani (Cone snail)</t>
  </si>
  <si>
    <t>Conantokin Rl-B (Con Rl-B) (ConRl-B)</t>
  </si>
  <si>
    <t>MQLYTYLYLLVPLVTFHLILGTGTLDHGDALTERRSTDATALKPEPVLLQKSSARSTNDNGKDTQMKRILKKRGNKARGEEELAEKAPEFARELAN</t>
  </si>
  <si>
    <t>PROPEP 22..78; /evidence="ECO:0000305|PubMed:22594498"; /id="PRO_0000421894"</t>
  </si>
  <si>
    <t>PEPTIDE 79..96; /note="Conantokin Rl-B"; /evidence="ECO:0000305|PubMed:22594498"; /id="PRO_0000421895"</t>
  </si>
  <si>
    <t>PTM: Hydroxylation of Pro-88 is important for NR2B/GRIN2B NMDA receptor selectivity (PubMed:26048991, PubMed:27981829). Removal of hydroxylation does not change global NMDA receptor antagonism (tested on WT neurons), but it decreases the inhibitory potency on NR2B/GRIN2B NMDA receptors and increases the inhibitory potency on NR2A/GRIN2A NMDA receptors. Hydroxylation of Pro-88 locally disrupts a small region of the divalent cation-induced alpha-helix but does not destabilize the entire helix (PubMed:26048991, PubMed:27981829). {ECO:0000269|PubMed:26048991, ECO:0000269|PubMed:27981829}.</t>
  </si>
  <si>
    <t>22594498; 26048991; 27981829</t>
  </si>
  <si>
    <t>P0C8E0</t>
  </si>
  <si>
    <t>CKP1_CONPI</t>
  </si>
  <si>
    <t>Conantokin-Pr1 (Con-Pr1)</t>
  </si>
  <si>
    <t>GEDEYAEGIREYQLIHGKI</t>
  </si>
  <si>
    <t>PEPTIDE 1..19; /note="Conantokin-Pr1"; /evidence="ECO:0000269|PubMed:17962189"; /id="PRO_0000353127"</t>
  </si>
  <si>
    <t>P17684</t>
  </si>
  <si>
    <t>CKT_CONTU</t>
  </si>
  <si>
    <t>Conus tulipa (Fish-hunting cone snail) (Tulip cone)</t>
  </si>
  <si>
    <t>Conantokin-T (Con-T)</t>
  </si>
  <si>
    <t>GEEEYQKMLENLREAEVKKNA</t>
  </si>
  <si>
    <t>PEPTIDE 1..21; /note="Conantokin-T"; /evidence="ECO:0000269|PubMed:2180939"; /id="PRO_0000044504"</t>
  </si>
  <si>
    <t>2180939; 2165278; 10406223; 11335724; 12507705; 9247135; 8999936</t>
  </si>
  <si>
    <t>Q9XZK9</t>
  </si>
  <si>
    <t>O16O2_CONTE</t>
  </si>
  <si>
    <t>Omega-conotoxin-like TxO2</t>
  </si>
  <si>
    <t>MKLTCVVIVAVLFLTAWTFVTAAPHSSNALENLYLKAHHEMNNPEDSELNKRCYDSGTSCNTGNQCCSGWCIFVCL</t>
  </si>
  <si>
    <t>PROPEP 23..52; /evidence="ECO:0000250"; /id="PRO_0000034952"</t>
  </si>
  <si>
    <t>PEPTIDE 53..76; /note="Omega-conotoxin-like TxO2"; /evidence="ECO:0000269|PubMed:22709442"; /id="PRO_0000034953"</t>
  </si>
  <si>
    <t>DISULFID 53..67; /evidence="ECO:0000250|UniProtKB:Q26443"; DISULFID 60..71; /evidence="ECO:0000250|UniProtKB:Q26443"; DISULFID 66..75; /evidence="ECO:0000250|UniProtKB:Q26443"</t>
  </si>
  <si>
    <t>P05485</t>
  </si>
  <si>
    <t>O17B_CONMA</t>
  </si>
  <si>
    <t>Omega-conotoxin MVIIB (SNX-159)</t>
  </si>
  <si>
    <t>CKGKGASCHRTSYDCCTGSCNRGKC</t>
  </si>
  <si>
    <t>PEPTIDE 1..25; /note="Omega-conotoxin MVIIB"; /evidence="ECO:0000269|PubMed:2441741"; /id="PRO_0000044476"</t>
  </si>
  <si>
    <t>2441741</t>
  </si>
  <si>
    <t>P0CY66</t>
  </si>
  <si>
    <t>O168_CONBU</t>
  </si>
  <si>
    <t>Omega-conotoxin Bu8</t>
  </si>
  <si>
    <t>AEDSRGTQLHRALRKATKLSESTRCKRKGSSCRRTSYDCCTGSCRNGKCG</t>
  </si>
  <si>
    <t>SIGNAL &lt;1..1; /evidence="ECO:0000255"</t>
  </si>
  <si>
    <t>PROPEP 2..24; /evidence="ECO:0000305|PubMed:34589389"; /id="PRO_0000409948"</t>
  </si>
  <si>
    <t>PEPTIDE 25..49; /note="Omega-conotoxin Bu8"; /evidence="ECO:0000305|PubMed:34589389"; /id="PRO_0000409949"</t>
  </si>
  <si>
    <t>DISULFID 25..40; /evidence="ECO:0000269|PubMed:34589389"; DISULFID 32..44; /evidence="ECO:0000269|PubMed:34589389"; DISULFID 39..49; /evidence="ECO:0000269|PubMed:34589389"</t>
  </si>
  <si>
    <t>21266071; 34589389</t>
  </si>
  <si>
    <t>P0DL31</t>
  </si>
  <si>
    <t>CXQA_CONRG</t>
  </si>
  <si>
    <t>Conus regularis (Regular cone)</t>
  </si>
  <si>
    <t>Omega-conotoxin RsXXVIA (RsXXIVA)</t>
  </si>
  <si>
    <t>CKGQSCSSCSTKEFCLSKGSRLMYDCCTGSCCGVKTAGVT</t>
  </si>
  <si>
    <t>PTM: Contains 4 disulfide bonds. {ECO:0000305}.</t>
  </si>
  <si>
    <t>23567319</t>
  </si>
  <si>
    <t>P81790</t>
  </si>
  <si>
    <t>TX34_PHONI</t>
  </si>
  <si>
    <t>Phoneutria nigriventer (Brazilian armed spider) (Ctenus nigriventer)</t>
  </si>
  <si>
    <t>Omega-ctenitoxin-Pn3a (Omega-CNTX-Pn3a) (Neurotoxin Tx3-4) (Omega-phonetoxin-2A) (Omega-phonetoxin-IIA) (Omega-Ptx-IIA) (PF3) (Phoneutriatoxin 3-4) (Pn3-4A)</t>
  </si>
  <si>
    <t>MKMKLLGIILLVSFPFVLGFAGIPIEEGENSVEVGEVERSCINVGDFCDGKKDDCQCCRDNAFCSCSVIFGYKTNCRCEVGTTATSYGICMAKHKCGRQTTCTKPCLSKRCKKNHG</t>
  </si>
  <si>
    <t>CONFLICT 54; /note="D -&gt; C (in Ref. 4; AA sequence)"; /evidence="ECO:0000305"; CONFLICT 58; /note="C -&gt; D (in Ref. 4; AA sequence)"; /evidence="ECO:0000305"</t>
  </si>
  <si>
    <t>PROPEP 20..38; /id="PRO_0000285663"</t>
  </si>
  <si>
    <t>DISULFID 41..58; /evidence="ECO:0000305"; DISULFID 48..64; /evidence="ECO:0000305"; DISULFID 55..90; /evidence="ECO:0000305"; DISULFID 57..78; /evidence="ECO:0000305"; DISULFID 66..76; /evidence="ECO:0000305"; DISULFID 96..102; /evidence="ECO:0000255"; DISULFID 106..111; /evidence="ECO:0000255"</t>
  </si>
  <si>
    <t>12782075; 9683727; 16278100; 8446961; 9631431; 10510308; 10923668; 11397544; 11827974; 16289869; 18524484; 19370546</t>
  </si>
  <si>
    <t>P68424</t>
  </si>
  <si>
    <t>TXH10_CYRSC</t>
  </si>
  <si>
    <t>Cyriopagopus schmidti (Chinese bird spider) (Haplopelma schmidti)</t>
  </si>
  <si>
    <t>Omega-theraphotoxin-Hs1a (Omega-TRTX-Hs1a) (Huwentoxin-10) (Huwentoxin-X) (HwTx-X)</t>
  </si>
  <si>
    <t>MNMKILVLVAVLCLVVSTHAERHSKTDMEDMEDSPMIQERKCLPPGKPCYGATQKIPCCGVCSHNKCT</t>
  </si>
  <si>
    <t>CONFLICT 27..29; /note="Missing (in Ref. 2; ABY77740)"; /evidence="ECO:0000305"</t>
  </si>
  <si>
    <t>SIGNAL 1..20; /evidence="ECO:0000255"</t>
  </si>
  <si>
    <t>PROPEP 21..40; /evidence="ECO:0000269|PubMed:16439354"; /id="PRO_0000249420"</t>
  </si>
  <si>
    <t>PEPTIDE 41..68; /note="Omega-theraphotoxin-Hs1a"; /id="PRO_0000045010"</t>
  </si>
  <si>
    <t>DISULFID 42..59; /evidence="ECO:0000269|PubMed:16439354, ECO:0000312|PDB:1Y29"; DISULFID 49..62; /evidence="ECO:0000269|PubMed:16439354, ECO:0000312|PDB:1Y29"; DISULFID 58..67; /evidence="ECO:0000269|PubMed:16439354, ECO:0000312|PDB:1Y29"</t>
  </si>
  <si>
    <t>16439354; 18482741</t>
  </si>
  <si>
    <t>P0CY82</t>
  </si>
  <si>
    <t>CA427_CONBU</t>
  </si>
  <si>
    <t>Conotoxin Bu27 (KappaA-conotoxin Bu27)</t>
  </si>
  <si>
    <t>ASDGRNAVVHERAPELVVTATTTCCGYDPMTICPPCMCTHSCPPKRKPGRRND</t>
  </si>
  <si>
    <t>PROPEP &lt;1..12; /evidence="ECO:0000250|UniProtKB:P0C1X1"; /id="PRO_0000409979"; PROPEP 49..53; /evidence="ECO:0000250|UniProtKB:P0C1X1"; /id="PRO_0000409981"</t>
  </si>
  <si>
    <t>PEPTIDE 13..48; /note="Conotoxin Bu27"; /evidence="ECO:0000250|UniProtKB:P0C1X1"; /id="PRO_0000409980"</t>
  </si>
  <si>
    <t>PTM: Contains 3 disulfide bonds. {ECO:0000250|UniProtKB:P0DQY7}.</t>
  </si>
  <si>
    <t>A3DT44</t>
  </si>
  <si>
    <t>CA42_CONAH</t>
  </si>
  <si>
    <t>Conotoxin Ac4.2 (KappaA-conotoxin)</t>
  </si>
  <si>
    <t>FDGRNAAVNERAPWMVVTATTNCCGYTGPACHPCLCTQSCG</t>
  </si>
  <si>
    <t>PROPEP &lt;1..11; /evidence="ECO:0000250"; /id="PRO_0000370642"</t>
  </si>
  <si>
    <t>PEPTIDE 12..40; /note="Conotoxin Ac4.2"; /evidence="ECO:0000250|UniProtKB:P0DQY7"; /id="PRO_0000370643"</t>
  </si>
  <si>
    <t>17400270</t>
  </si>
  <si>
    <t>P0CAQ2</t>
  </si>
  <si>
    <t>CA43A_CONAH</t>
  </si>
  <si>
    <t>Conotoxin Ac4.3a (KappaA-conotoxin)</t>
  </si>
  <si>
    <t>SDFRNAAVHERQKELVVTATTTCCGYNPMTSCPRCMCDSSCNKKKKPGRRND</t>
  </si>
  <si>
    <t>PROPEP &lt;1..11; /evidence="ECO:0000250|UniProtKB:P0C1X1"; /id="PRO_0000370644"; PROPEP 48..52; /evidence="ECO:0000250|UniProtKB:P0C1X1"; /id="PRO_0000370646"</t>
  </si>
  <si>
    <t>PEPTIDE 12..47; /note="Conotoxin Ac4.3a"; /evidence="ECO:0000250|UniProtKB:P0C1X1"; /id="PRO_0000370645"</t>
  </si>
  <si>
    <t>P0CAQ3</t>
  </si>
  <si>
    <t>CA43B_CONAH</t>
  </si>
  <si>
    <t>Conotoxin Ac4.3b (KappaA-conotoxin)</t>
  </si>
  <si>
    <t>SDVRNAAVHERQKELVPSKITTCCGYSPGTACPSCMCTNTCKKKNKKPGRRND</t>
  </si>
  <si>
    <t>PROPEP &lt;1..11; /evidence="ECO:0000250|UniProtKB:P0C1X1"; /id="PRO_0000377454"; PROPEP 49..53; /evidence="ECO:0000250|UniProtKB:P0C1X1"; /id="PRO_0000377456"</t>
  </si>
  <si>
    <t>PEPTIDE 12..48; /note="Conotoxin Ac4.3b"; /evidence="ECO:0000250|UniProtKB:P0C1X1"; /id="PRO_0000377455"</t>
  </si>
  <si>
    <t>P0CE75</t>
  </si>
  <si>
    <t>CA4A_CONSE</t>
  </si>
  <si>
    <t>Conus stercusmuscarum (Fly-specked cone)</t>
  </si>
  <si>
    <t>Conotoxin SmIVA</t>
  </si>
  <si>
    <t>MGMRMMFTVFLLVVLATTVVSIPSDRASDGRNAAVNERQTWLVPSTITTCCGYDPGTMCPTCMCDNTCKPKPKKSGRRND</t>
  </si>
  <si>
    <t>PROPEP 22..38; /evidence="ECO:0000250|UniProtKB:P0C829"; /id="PRO_0000251236"; PROPEP 76..80; /evidence="ECO:0000250|UniProtKB:P0C829"; /id="PRO_0000251238"</t>
  </si>
  <si>
    <t>PEPTIDE 39..75; /note="Conotoxin SmIVA"; /evidence="ECO:0000250|UniProtKB:P0C829"; /id="PRO_0000251237"</t>
  </si>
  <si>
    <t>PTM: Contains 3 disulfide bonds. {ECO:0000250|UniProtKB:P0C829}.</t>
  </si>
  <si>
    <t>14701840</t>
  </si>
  <si>
    <t>P0C829</t>
  </si>
  <si>
    <t>CA4B_CONST</t>
  </si>
  <si>
    <t>Conotoxin SIVB (Conotoxin S4.2) (Conotoxin s4b) (KappaA-conotoxin)</t>
  </si>
  <si>
    <t>MGMRMMFTVFLSVVLATTVVSTPSDRASDGRNAAVHERQKELVPSVITTCCGYDPGTMCPPCRCTNSCPTKPKKPGRRND</t>
  </si>
  <si>
    <t>PROPEP 22..38; /evidence="ECO:0000305|PubMed:17115716"; /id="PRO_0000345097"; PROPEP 76..80; /evidence="ECO:0000305|PubMed:17115716"; /id="PRO_0000458103"</t>
  </si>
  <si>
    <t>PEPTIDE 39..75; /note="Conotoxin SIVB"; /evidence="ECO:0000269|PubMed:17115716"; /id="PRO_0000345098"</t>
  </si>
  <si>
    <t>PTM: Contains 3 disulfide bonds. {ECO:0000305|PubMed:17115716}.; PTM: O-linked glycan consists of Hex3-HexNAc2 pentasaccharide. {ECO:0000269|PubMed:17115716}.</t>
  </si>
  <si>
    <t>14701840; 17115716</t>
  </si>
  <si>
    <t>P0C2C6</t>
  </si>
  <si>
    <t>CA4F_CONPU</t>
  </si>
  <si>
    <t>Conotoxin PIVF (Kappa-conotoxin-like PIVF) (KappaA-PIVF)</t>
  </si>
  <si>
    <t>DCCGVKLEMCHPCLCDNSCKKSGK</t>
  </si>
  <si>
    <t>PEPTIDE 1..24; /note="Conotoxin PIVF"; /evidence="ECO:0000269|PubMed:17118419"; /id="PRO_0000273428"</t>
  </si>
  <si>
    <t>DISULFID 2..10; /evidence="ECO:0000250|UniProtKB:P0C2C5"; DISULFID 3..15; /evidence="ECO:0000250|UniProtKB:P0C2C5"; DISULFID 13..19; /evidence="ECO:0000250|UniProtKB:P0C2C5"</t>
  </si>
  <si>
    <t>17118419</t>
  </si>
  <si>
    <t>P69500</t>
  </si>
  <si>
    <t>I21_CONVX</t>
  </si>
  <si>
    <t>Conus vexillum (Flag cone)</t>
  </si>
  <si>
    <t>Kappa-conotoxin-like 1</t>
  </si>
  <si>
    <t>MMFRLTSVSCFLLVIACLNLFQVVLTSRCFPPGIYCTPYLPCCWGICCDTCRNVCHLRIGKRATFQE</t>
  </si>
  <si>
    <t>PROPEP 63..67; /evidence="ECO:0000250"; /id="PRO_0000035119"</t>
  </si>
  <si>
    <t>DISULFID 29..43; /evidence="ECO:0000250|UniProtKB:Q7Z094"; DISULFID 36..48; /evidence="ECO:0000250|UniProtKB:Q7Z094"; DISULFID 42..51; /evidence="ECO:0000250|UniProtKB:Q7Z094"; DISULFID 47..55; /evidence="ECO:0000250|UniProtKB:Q7Z094"</t>
  </si>
  <si>
    <t>15450929</t>
  </si>
  <si>
    <t>P0C258</t>
  </si>
  <si>
    <t>I2B2_CONSR</t>
  </si>
  <si>
    <t>Conus striolatus (Cone snail)</t>
  </si>
  <si>
    <t>Kappa-conotoxin-like Sx11.2</t>
  </si>
  <si>
    <t>MMFRVTSVGCLLLVIVFLNLVVPTSACRAEGTYCENDSQCCLNECCWGGCGHPCRHPGKRSKLQEFFRQR</t>
  </si>
  <si>
    <t>PROPEP 61..70; /id="PRO_0000262688"</t>
  </si>
  <si>
    <t>DISULFID 27..41; /evidence="ECO:0000250|UniProtKB:Q7Z094"; DISULFID 34..46; /evidence="ECO:0000250|UniProtKB:Q7Z094"; DISULFID 40..50; /evidence="ECO:0000250|UniProtKB:Q7Z094"; DISULFID 45..54; /evidence="ECO:0000250|UniProtKB:Q7Z094"</t>
  </si>
  <si>
    <t>16098199</t>
  </si>
  <si>
    <t>P0C615</t>
  </si>
  <si>
    <t>I2BA_CONSP</t>
  </si>
  <si>
    <t>Conus spurius (Alphabet cone)</t>
  </si>
  <si>
    <t>Kappa-conotoxin SrXIA (Kappa-SrXIA) (I2-superfamily conotoxin sr11a)</t>
  </si>
  <si>
    <t>CRTEGMSCEENQQCCWRSCCRGECEAPCRFGP</t>
  </si>
  <si>
    <t>DISULFID 1..15; /evidence="ECO:0000250|UniProtKB:Q7Z094"; DISULFID 8..20; /evidence="ECO:0000250|UniProtKB:Q7Z094"; DISULFID 14..24; /evidence="ECO:0000250|UniProtKB:Q7Z094"; DISULFID 19..28; /evidence="ECO:0000250|UniProtKB:Q7Z094"</t>
  </si>
  <si>
    <t>17166627; 20403399</t>
  </si>
  <si>
    <t>C7DQY0</t>
  </si>
  <si>
    <t>I2B3_CONIM</t>
  </si>
  <si>
    <t>Kappa-conotoxin-like Im11.3</t>
  </si>
  <si>
    <t>MMFRLTSVSCFLLVIACLNLFQVVLTSRCFPPGIYCTPYLPCCWGICCGTCRNDNSSLTFLQFCLPFFFFLRPSHPLFLLLPAR</t>
  </si>
  <si>
    <t>SIGNAL 1..26; /evidence="ECO:0000250"</t>
  </si>
  <si>
    <t>PROPEP 71..84; /evidence="ECO:0000250"; /id="PRO_0000392056"</t>
  </si>
  <si>
    <t>PEPTIDE 27..70; /note="Kappa-conotoxin-like Im11.3"; /id="PRO_0000392055"</t>
  </si>
  <si>
    <t>DISULFID 29..43; /evidence="ECO:0000250|UniProtKB:Q7Z094"; DISULFID 36..48; /evidence="ECO:0000250|UniProtKB:Q7Z094"; DISULFID 42..51; /evidence="ECO:0000250|UniProtKB:Q7Z094"; DISULFID 47..64; /evidence="ECO:0000250|UniProtKB:Q7Z094"</t>
  </si>
  <si>
    <t>19595726</t>
  </si>
  <si>
    <t>Q0N4U4</t>
  </si>
  <si>
    <t>CJE1_CONFR</t>
  </si>
  <si>
    <t>Conus ferrugineus (Cone snail)</t>
  </si>
  <si>
    <t>Alpha/kappa-conotoxin-like fe14.1</t>
  </si>
  <si>
    <t>MPSVRSVTCCCLLWMMLSVQLVTPGSPGTAQLSGHRTARSPGSTICKMACRTGNGHKYPFCNCRGKRDVVSSSMAV</t>
  </si>
  <si>
    <t>SIGNAL 1..24; /evidence="ECO:0000255"</t>
  </si>
  <si>
    <t>PROPEP 25..39; /evidence="ECO:0000250"; /id="PRO_0000260018"; PROPEP 65..76; /evidence="ECO:0000250"; /id="PRO_0000260020"</t>
  </si>
  <si>
    <t>PEPTIDE 40..64; /note="Alpha/kappa-conotoxin-like fe14.1"; /evidence="ECO:0000305|PubMed:16819832"; /id="PRO_0000260019"</t>
  </si>
  <si>
    <t>DISULFID 46..61; /evidence="ECO:0000250|UniProtKB:Q0N4U8"; DISULFID 50..63; /evidence="ECO:0000250|UniProtKB:Q0N4U8"</t>
  </si>
  <si>
    <t>16819832</t>
  </si>
  <si>
    <t>Q0N4U7</t>
  </si>
  <si>
    <t>CJE1_CONPO</t>
  </si>
  <si>
    <t>Conus planorbis (Planorbis cone)</t>
  </si>
  <si>
    <t>Alpha/kappa-conotoxin-like pl14.1</t>
  </si>
  <si>
    <t>MPSVRSVTCCCLLWMMLSVQLVTPGSPATAQLSGQRTARGPGSAICNMACRLGQGHMYPFCNCNGKRDVVSSSMAV</t>
  </si>
  <si>
    <t>SIGNAL 1..27; /evidence="ECO:0000255"</t>
  </si>
  <si>
    <t>PROPEP 28..39; /evidence="ECO:0000250"; /id="PRO_0000260009"; PROPEP 65..76; /evidence="ECO:0000250"; /id="PRO_0000260011"</t>
  </si>
  <si>
    <t>PEPTIDE 40..64; /note="Alpha/kappa-conotoxin-like pl14.1"; /evidence="ECO:0000305|PubMed:16819832"; /id="PRO_0000260010"</t>
  </si>
  <si>
    <t>Q0N4U3</t>
  </si>
  <si>
    <t>CJE2_CONFR</t>
  </si>
  <si>
    <t>Alpha/kappa-conotoxin-like fe14.2</t>
  </si>
  <si>
    <t>MPSVRSVTCCCLLWMMLSVQLVTPGSPGTAQLSGQRTARSSGSTVCKMMCRLGYGHLYPSCGCRGKRDVVSSSMAV</t>
  </si>
  <si>
    <t>PROPEP 25..39; /evidence="ECO:0000250"; /id="PRO_0000260021"; PROPEP 65..76; /evidence="ECO:0000250"; /id="PRO_0000260023"</t>
  </si>
  <si>
    <t>PEPTIDE 40..64; /note="Alpha/kappa-conotoxin-like fe14.2"; /evidence="ECO:0000305|PubMed:16819832"; /id="PRO_0000260022"</t>
  </si>
  <si>
    <t>Q0N4U8</t>
  </si>
  <si>
    <t>CJEA_CONPO</t>
  </si>
  <si>
    <t>Alpha/kappa-conotoxin pl14a (Conotoxin PlXIVA)</t>
  </si>
  <si>
    <t>MPSVRSVTCCCLLWMMFSVQLVTPGSPGTAQLSGHRTARFPRPRICNLACRAGIGHKYPFCHCRGKRDAVSSSMAV</t>
  </si>
  <si>
    <t>PROPEP 25..39; /evidence="ECO:0000269|PubMed:16819832"; /id="PRO_0000260006"; PROPEP 65..76; /id="PRO_0000260008"</t>
  </si>
  <si>
    <t>PEPTIDE 40..64; /note="Alpha/kappa-conotoxin pl14a"; /evidence="ECO:0000269|PubMed:16819832"; /id="PRO_0000260007"</t>
  </si>
  <si>
    <t>DISULFID 46..61; /evidence="ECO:0000269|PubMed:16819832"; DISULFID 50..63; /evidence="ECO:0000269|PubMed:16819832"</t>
  </si>
  <si>
    <t>P0C6S2</t>
  </si>
  <si>
    <t>CLEA_CONCF</t>
  </si>
  <si>
    <t>Conus cancellatus (Cancellate cone) (Conus austini)</t>
  </si>
  <si>
    <t>Conotoxin as14a (Conotoxin AsXIVA)</t>
  </si>
  <si>
    <t>GGVGRCIYNCMNSGGGLNFIQCKTMCY</t>
  </si>
  <si>
    <t>PEPTIDE 1..27; /note="Conotoxin as14a"; /evidence="ECO:0000269|PubMed:18206266"; /id="PRO_0000326393"</t>
  </si>
  <si>
    <t>DISULFID 6..26; /evidence="ECO:0000250|UniProtKB:P84704"; DISULFID 10..22; /evidence="ECO:0000250|UniProtKB:P84704"</t>
  </si>
  <si>
    <t>18206266</t>
  </si>
  <si>
    <t>P0C6S3</t>
  </si>
  <si>
    <t>CLEB_CONCF</t>
  </si>
  <si>
    <t>Conotoxin as14b (Conotoxin AsXIVB)</t>
  </si>
  <si>
    <t>RWDVDQCIYYCLNGVVGYSYTECQTMCT</t>
  </si>
  <si>
    <t>PEPTIDE 1..28; /note="Conotoxin as14b"; /evidence="ECO:0000269|PubMed:18206266"; /id="PRO_0000326394"</t>
  </si>
  <si>
    <t>DISULFID 7..27; /evidence="ECO:0000250|UniProtKB:P84704"; DISULFID 11..23; /evidence="ECO:0000250|UniProtKB:P84704"</t>
  </si>
  <si>
    <t>P0CG45</t>
  </si>
  <si>
    <t>CM3J_CONRA</t>
  </si>
  <si>
    <t>Kappa-conotoxin RIIIJ (Kappa-M-RIIIJ)</t>
  </si>
  <si>
    <t>LPPCCTPPKKHCPAPACKYKPCCKS</t>
  </si>
  <si>
    <t>PEPTIDE 1..25; /note="Kappa-conotoxin RIIIJ"; /id="PRO_0000395613"</t>
  </si>
  <si>
    <t>DISULFID 4..17; /evidence="ECO:0000250|UniProtKB:P01523"; DISULFID 5..22; /evidence="ECO:0000250|UniProtKB:P01523"; DISULFID 12..23; /evidence="ECO:0000250|UniProtKB:P01523"</t>
  </si>
  <si>
    <t>20220134</t>
  </si>
  <si>
    <t>P69769</t>
  </si>
  <si>
    <t>CM3K_CONRA</t>
  </si>
  <si>
    <t>Kappa-conotoxin RIIIK (Kappa-M-RIIIK) (Conotoxin R3.1)</t>
  </si>
  <si>
    <t>MSKLGVLLTICLLLFPLTALPMDGDQPVDRLAERMQDNISSEQHTFFEKRLPSCCSLNLRLCPVPACKRNPCCTG</t>
  </si>
  <si>
    <t>PROPEP 20..50; /evidence="ECO:0000250"; /id="PRO_0000035051"</t>
  </si>
  <si>
    <t>PEPTIDE 51..74; /note="Kappa-conotoxin RIIIK"; /id="PRO_0000035052"</t>
  </si>
  <si>
    <t>DISULFID 54..67; /evidence="ECO:0000250|UniProtKB:P01523"; DISULFID 55..72; /evidence="ECO:0000250|UniProtKB:P01523"; DISULFID 62..73; /evidence="ECO:0000250|UniProtKB:P01523"</t>
  </si>
  <si>
    <t>15924437; 12399472; 20220134</t>
  </si>
  <si>
    <t>P84713</t>
  </si>
  <si>
    <t>CMO1_CONMO</t>
  </si>
  <si>
    <t>Conus monile (Necklace cone)</t>
  </si>
  <si>
    <t>Kappa-conotoxin Mo1659</t>
  </si>
  <si>
    <t>FHGGSWYRFPWGY</t>
  </si>
  <si>
    <t>PEPTIDE 1..13; /note="Kappa-conotoxin Mo1659"; /id="PRO_0000044884"</t>
  </si>
  <si>
    <t>15081394</t>
  </si>
  <si>
    <t>P56633</t>
  </si>
  <si>
    <t>O17A_CONPU</t>
  </si>
  <si>
    <t>Kappa-conotoxin PVIIA (CGX-1051) (Fin-popping peptide)</t>
  </si>
  <si>
    <t>MKLTCVVIVVVLFLTACQLITADDSRRTQKHRALRSTTKLSLSTRCRIPNQKCFQHLDDCCSRKCNRFNKCV</t>
  </si>
  <si>
    <t>PROPEP 23..45; /evidence="ECO:0000269|PubMed:12074021"; /id="PRO_0000034981"</t>
  </si>
  <si>
    <t>PEPTIDE 46..72; /note="Kappa-conotoxin PVIIA"; /evidence="ECO:0000269|PubMed:12074021"; /id="PRO_0000034982"</t>
  </si>
  <si>
    <t>PTM: This toxin is not amidated at the C-terminal Val residue. {ECO:0000269|PubMed:9417043, ECO:0000269|PubMed:9438859}.</t>
  </si>
  <si>
    <t>DISULFID 46..61; /evidence="ECO:0000269|PubMed:9417043, ECO:0000269|PubMed:9438859, ECO:0000269|PubMed:9548922, ECO:0000312|PDB:1AV3, ECO:0000312|PDB:1KCP, ECO:0000312|PDB:2N8E"; DISULFID 53..65; /evidence="ECO:0000269|PubMed:9417043, ECO:0000269|PubMed:9438859, ECO:0000269|PubMed:9548922, ECO:0000312|PDB:1AV3, ECO:0000312|PDB:1KCP, ECO:0000312|PDB:2N8E"; DISULFID 60..71; /evidence="ECO:0000269|PubMed:9417043, ECO:0000269|PubMed:9438859, ECO:0000269|PubMed:9548922, ECO:0000312|PDB:1AV3, ECO:0000312|PDB:1KCP, ECO:0000312|PDB:2N8E"</t>
  </si>
  <si>
    <t>9417043; 12074021; 10398696; 10818087; 11820396; 12023223; 15869307; 16044024; 23398369; 27093300; 9438859; 9548922</t>
  </si>
  <si>
    <t>P0CY85</t>
  </si>
  <si>
    <t>VKTB1_CONBU</t>
  </si>
  <si>
    <t>Kunitz-type conkunitzin-B1 (Conk-B1)</t>
  </si>
  <si>
    <t>MEGRRFAAVLILPICMLAPGAVASKRWTRPSVCNLPAESGTGTQSLKRFYYNSDKMQCRTFIYKGNGGNDNNFPRTYDCQKKCLYRPG</t>
  </si>
  <si>
    <t>PTM: Contains 2 disulfide bonds instead of 3, as for all Kunitz domain proteins.</t>
  </si>
  <si>
    <t>DISULFID 33..83; /evidence="ECO:0000255|PROSITE-ProRule:PRU00031"; DISULFID 58..79; /evidence="ECO:0000255|PROSITE-ProRule:PRU00031"</t>
  </si>
  <si>
    <t>P0C1X2</t>
  </si>
  <si>
    <t>VKTS1_CONST</t>
  </si>
  <si>
    <t>Kunitz-type conkunitzin-S1 (Conk-S1)</t>
  </si>
  <si>
    <t>MEGRRFAAVLILTICMLAPGTGTLLPKDRPSLCDLPADSGSGTKAEKRIYYNSARKQCLRFDYTGQGGNENNFRRTYDCQRTCLYT</t>
  </si>
  <si>
    <t>SIGNAL 1..26; /evidence="ECO:0000269|PubMed:15833744"</t>
  </si>
  <si>
    <t>PTM: Contains 2 disulfide bonds instead of 3, as for all Kunitz domain proteins. A double Cys-mutant carrying an additional Cys bridge does not show difference in activity with the natural peptide. However, there are some differences in the kinetics of binding of both peptides to the channel (PubMed:15833744). {ECO:0000269|PubMed:15833744}.</t>
  </si>
  <si>
    <t>DISULFID 33..83; /evidence="ECO:0000255|PROSITE-ProRule:PRU00031, ECO:0000269|PubMed:15833744"; DISULFID 58..79; /evidence="ECO:0000255|PROSITE-ProRule:PRU00031, ECO:0000269|PubMed:15833744"</t>
  </si>
  <si>
    <t>16542850; 15833744; 16929098</t>
  </si>
  <si>
    <t>P83047</t>
  </si>
  <si>
    <t>COW_CONVE</t>
  </si>
  <si>
    <t>Contryphan-Vn</t>
  </si>
  <si>
    <t>GDCPWKPWC</t>
  </si>
  <si>
    <t>PEPTIDE 1..9; /note="Contryphan-Vn"; /evidence="ECO:0000269|PubMed:11688995"; /id="PRO_0000044506"</t>
  </si>
  <si>
    <t>DISULFID 3..9; /evidence="ECO:0000269|PubMed:11688995, ECO:0000269|PubMed:12646193, ECO:0000269|PubMed:15150794"</t>
  </si>
  <si>
    <t>11688995; 12646193; 15150794</t>
  </si>
  <si>
    <t>B3SVF1</t>
  </si>
  <si>
    <t>CPY1_CONFR</t>
  </si>
  <si>
    <t>Conopeptide Y-Fe1 (CPY-Fe1)</t>
  </si>
  <si>
    <t>MSKLGVVLFVFLLLLPLAAPQPVGDQPADQPADRNAEARGTYLYPFSYYRLWRYFTRFLHKQPYYYVHI</t>
  </si>
  <si>
    <t>PROPEP 21..69; /id="PRO_5000379124"</t>
  </si>
  <si>
    <t>PEPTIDE 40..69; /note="Conopeptide Y-Fe1"; /id="PRO_5000379125"</t>
  </si>
  <si>
    <t>18505731</t>
  </si>
  <si>
    <t>B3SVF0</t>
  </si>
  <si>
    <t>CPY1_CONPO</t>
  </si>
  <si>
    <t>Conopeptide Y-Pl1 (CPY-Pl1)</t>
  </si>
  <si>
    <t>MSKLGVVLFVFLLLLPLAAPQPVGDQPADQPADRNAEARARFLHPFQYYTLYRYLTRFLHRYPIYYIRY</t>
  </si>
  <si>
    <t>PROPEP 21..69; /id="PRO_5000379122"</t>
  </si>
  <si>
    <t>PEPTIDE 40..69; /note="Conopeptide Y-Pl1"; /id="PRO_5000379123"</t>
  </si>
  <si>
    <t>P58923</t>
  </si>
  <si>
    <t>U7A_CONTU</t>
  </si>
  <si>
    <t>Conotoxin TVIIA</t>
  </si>
  <si>
    <t>SCSGRDSRCPPVCCMGLMCSRGKCVSIYGE</t>
  </si>
  <si>
    <t>PEPTIDE 1..30; /note="Conotoxin TVIIA"; /id="PRO_0000044488"</t>
  </si>
  <si>
    <t>PTM: Three different forms of TVIIA exist. Pro-10 and Pro-11 of conotoxin TVIIA are hydroxylated in TVIIA, whereas Pro-10 is not hydroxylated in [Pro10]TVIIA and neither Pro-10 nor Pro-11 are hydroxylated in [Pro10,11]TVIIA. {ECO:0000269|PubMed:10903496}.</t>
  </si>
  <si>
    <t>DISULFID 2..14; /evidence="ECO:0000269|PubMed:10903497, ECO:0000312|PDB:1EYO"; DISULFID 9..19; /evidence="ECO:0000269|PubMed:10903497, ECO:0000312|PDB:1EYO"; DISULFID 13..24; /evidence="ECO:0000269|PubMed:10903497, ECO:0000312|PDB:1EYO"</t>
  </si>
  <si>
    <t>10903496; 10903497</t>
  </si>
  <si>
    <t>P15472</t>
  </si>
  <si>
    <t>U6GS_CONGE</t>
  </si>
  <si>
    <t>Mu-conotoxin GS (CGS)</t>
  </si>
  <si>
    <t>ACSGRGSRCPPQCCMGLRCGRGNPQKCIGAHEDV</t>
  </si>
  <si>
    <t>PEPTIDE 1..34; /note="Mu-conotoxin GS"; /id="PRO_0000044878"</t>
  </si>
  <si>
    <t>DISULFID 2..14; /evidence="ECO:0000269|PubMed:9115446"; DISULFID 9..19; /evidence="ECO:0000269|PubMed:9115446"; DISULFID 13..27; /evidence="ECO:0000269|PubMed:9115446"</t>
  </si>
  <si>
    <t>2851318; 9115446</t>
  </si>
  <si>
    <t>P0C256</t>
  </si>
  <si>
    <t>I1B1_CONFI</t>
  </si>
  <si>
    <t>Conus figulinus (Fig cone)</t>
  </si>
  <si>
    <t>Iota-conotoxin-like Fi11.1</t>
  </si>
  <si>
    <t>GHVSCGKDGRACDYHADCCNCCLGGICKPSTSWIGCSTNVFLTR</t>
  </si>
  <si>
    <t>PROPEP 44; /note="Removed by a carboxypeptidase"; /evidence="ECO:0000250"; /id="PRO_0000262684"</t>
  </si>
  <si>
    <t>DISULFID 5..19; /evidence="ECO:0000250|UniProtKB:Q7Z094"; DISULFID 12..22; /evidence="ECO:0000250|UniProtKB:Q7Z094"; DISULFID 18..27; /evidence="ECO:0000250|UniProtKB:Q7Z094"; DISULFID 21..36; /evidence="ECO:0000250|UniProtKB:Q7Z094"</t>
  </si>
  <si>
    <t>P0C257</t>
  </si>
  <si>
    <t>I1B1_CONMA</t>
  </si>
  <si>
    <t>Iota-conotoxin-like M11.1</t>
  </si>
  <si>
    <t>GAVPCGKDGRQCRNHADCCNCCPIGTCAPSTNWILPGCSTGQFMTR</t>
  </si>
  <si>
    <t>PROPEP 46; /note="Removed by a carboxypeptidase"; /evidence="ECO:0000250"; /id="PRO_0000262686"</t>
  </si>
  <si>
    <t>DISULFID 5..19; /evidence="ECO:0000250|UniProtKB:Q7Z094"; DISULFID 12..22; /evidence="ECO:0000250|UniProtKB:Q7Z094"; DISULFID 18..27; /evidence="ECO:0000250|UniProtKB:Q7Z094"; DISULFID 21..38; /evidence="ECO:0000250|UniProtKB:Q7Z094"</t>
  </si>
  <si>
    <t>P0C259</t>
  </si>
  <si>
    <t>I1B2_CONST</t>
  </si>
  <si>
    <t>Iota-conotoxin-like S11.2</t>
  </si>
  <si>
    <t>GCKKDRKPCSYQADCCNCCPIGTCAPSTNWILPGCSTGPFMAR</t>
  </si>
  <si>
    <t>PROPEP 43; /note="Removed by a carboxypeptidase"; /evidence="ECO:0000250"; /id="PRO_0000262690"</t>
  </si>
  <si>
    <t>DISULFID 2..16; /evidence="ECO:0000250|UniProtKB:Q7Z094"; DISULFID 9..19; /evidence="ECO:0000250|UniProtKB:Q7Z094"; DISULFID 15..24; /evidence="ECO:0000250|UniProtKB:Q7Z094"; DISULFID 18..35; /evidence="ECO:0000250|UniProtKB:Q7Z094"</t>
  </si>
  <si>
    <t>Q7Z090</t>
  </si>
  <si>
    <t>I1B3_CONRA</t>
  </si>
  <si>
    <t>Iota-conotoxin-like R11.3</t>
  </si>
  <si>
    <t>MKLCLTFLLVLMILASVTGEKLSEQTLRRAARKNKGPRCWVGRVHCTYHKDCCPSVCCFKGRCKPQSWGCWSGPT</t>
  </si>
  <si>
    <t>PROPEP 20..34; /evidence="ECO:0000250"; /id="PRO_0000262447"</t>
  </si>
  <si>
    <t>DISULFID 39..53; /evidence="ECO:0000250|UniProtKB:Q7Z094"; DISULFID 46..58; /evidence="ECO:0000250|UniProtKB:Q7Z094"; DISULFID 52..63; /evidence="ECO:0000250|UniProtKB:Q7Z094"; DISULFID 57..70; /evidence="ECO:0000250|UniProtKB:Q7Z094"</t>
  </si>
  <si>
    <t>16098199; 20363338; 12694387</t>
  </si>
  <si>
    <t>P0C612</t>
  </si>
  <si>
    <t>I1B5_CONLY</t>
  </si>
  <si>
    <t>Conus lynceus (Lynceus cone)</t>
  </si>
  <si>
    <t>Iota-conotoxin-like L11.5</t>
  </si>
  <si>
    <t>NWSWCSGSGEGCDYHSECCGERCCIESMCIGDGVACWP</t>
  </si>
  <si>
    <t>PEPTIDE 1..38; /note="Iota-conotoxin-like L11.5"; /id="PRO_0000314088"</t>
  </si>
  <si>
    <t>DISULFID 5..19; /evidence="ECO:0000250|UniProtKB:Q7Z094"; DISULFID 12..24; /evidence="ECO:0000250|UniProtKB:Q7Z094"; DISULFID 18..29; /evidence="ECO:0000250|UniProtKB:Q7Z094"; DISULFID 23..36; /evidence="ECO:0000250|UniProtKB:Q7Z094"</t>
  </si>
  <si>
    <t>17996262</t>
  </si>
  <si>
    <t>Q7Z095</t>
  </si>
  <si>
    <t>I1B7_CONRA</t>
  </si>
  <si>
    <t>Iota-conotoxin-like R11.7</t>
  </si>
  <si>
    <t>GPSFCKADEKPCEYHSDCCNCCLSGICAPSTNWILPGCSTSSFFKI</t>
  </si>
  <si>
    <t>12694387</t>
  </si>
  <si>
    <t>Q7Z096</t>
  </si>
  <si>
    <t>I1BC_CONRA</t>
  </si>
  <si>
    <t>Iota-conotoxin-like r11c (R11.4)</t>
  </si>
  <si>
    <t>MKLCLTFLLVLMILASVTGEKSSKHTLSRAARVKNRGPSFCKADEKPCKYHADCCNCCLGGICKPSTSWIGCSTNVFLTR</t>
  </si>
  <si>
    <t>PROPEP 20..35; /id="PRO_0000262448"; PROPEP 80; /note="Removed by a carboxypeptidase"; /id="PRO_0000035101"</t>
  </si>
  <si>
    <t>PTM: The natural D-Leu form of the peptide is more potent than the synthetic L-Leu form.</t>
  </si>
  <si>
    <t>DISULFID 41..55; /evidence="ECO:0000250|UniProtKB:Q7Z094"; DISULFID 48..58; /evidence="ECO:0000250|UniProtKB:Q7Z094"; DISULFID 54..63; /evidence="ECO:0000250|UniProtKB:Q7Z094"; DISULFID 57..72; /evidence="ECO:0000250|UniProtKB:Q7Z094"</t>
  </si>
  <si>
    <t>16098199; 12694387</t>
  </si>
  <si>
    <t>Q7Z0A5</t>
  </si>
  <si>
    <t>I1BU_CONRA</t>
  </si>
  <si>
    <t>Iota-conotoxin-like R11.10</t>
  </si>
  <si>
    <t>GHVPCGKDGRKCGYHADCCNCCLSGICKPSTSWTGCSTSTVQLTR</t>
  </si>
  <si>
    <t>PROPEP 45; /note="Removed by a carboxypeptidase"; /evidence="ECO:0000250"; /id="PRO_0000035105"</t>
  </si>
  <si>
    <t>P0C349</t>
  </si>
  <si>
    <t>CM3C_CONST</t>
  </si>
  <si>
    <t>Mu-conotoxin SIIIC (Mu-conotoxin TIIIA-like)</t>
  </si>
  <si>
    <t>RHGCCKGPKGCSSRECRPQHCC</t>
  </si>
  <si>
    <t>PEPTIDE 1..22; /note="Mu-conotoxin SIIIC"; /evidence="ECO:0000269|PubMed:17142296"; /id="PRO_0000288944"</t>
  </si>
  <si>
    <t>DISULFID 4..16; /evidence="ECO:0000269|PubMed:17142296"; DISULFID 5..21; /evidence="ECO:0000269|PubMed:17142296"; DISULFID 11..22; /evidence="ECO:0000269|PubMed:17142296"</t>
  </si>
  <si>
    <t>17142296</t>
  </si>
  <si>
    <t>C1J5M5</t>
  </si>
  <si>
    <t>CM3A_CONBU</t>
  </si>
  <si>
    <t>Mu-conotoxin BuIIIA</t>
  </si>
  <si>
    <t>MMSKLGVLLTICLLLFPLFALPQDGDQPADRPAERMQDDISSEQNSLLEKRVTDRCCKGKRECGRWCRDHSRCCGRR</t>
  </si>
  <si>
    <t>PROPEP 23..51; /evidence="ECO:0000305"; /id="PRO_0000384431"</t>
  </si>
  <si>
    <t>PEPTIDE 52..74; /note="Mu-conotoxin BuIIIA"; /evidence="ECO:0000305|PubMed:18950653"; /id="PRO_0000384432"</t>
  </si>
  <si>
    <t>DISULFID 56..67; /evidence="ECO:0000250|UniProtKB:C1J5M6"; DISULFID 57..73; /evidence="ECO:0000250|UniProtKB:C1J5M6"; DISULFID 63..74; /evidence="ECO:0000250|UniProtKB:C1J5M6"</t>
  </si>
  <si>
    <t>18950653; 21652775</t>
  </si>
  <si>
    <t>P0C1T9</t>
  </si>
  <si>
    <t>CM3A_CONCN</t>
  </si>
  <si>
    <t>Mu-conotoxin CnIIIA</t>
  </si>
  <si>
    <t>GRCCDVPNACSGRWCRDHAQCC</t>
  </si>
  <si>
    <t>PEPTIDE 1..22; /note="Mu-conotoxin CnIIIA"; /evidence="ECO:0000305|PubMed:16533055"; /id="PRO_0000249198"</t>
  </si>
  <si>
    <t>DISULFID 3..15; /evidence="ECO:0000250"; DISULFID 4..21; /evidence="ECO:0000250"; DISULFID 10..22; /evidence="ECO:0000250"</t>
  </si>
  <si>
    <t>16533055; 19457347; 21652775</t>
  </si>
  <si>
    <t>P0C1U1</t>
  </si>
  <si>
    <t>CM3A_CONCT</t>
  </si>
  <si>
    <t>Mu-conotoxin CIIIA</t>
  </si>
  <si>
    <t>GRCCEGPNGCSSRWCKDHARCC</t>
  </si>
  <si>
    <t>PEPTIDE 1..22; /note="Mu-conotoxin CIIIA"; /id="PRO_0000249200"</t>
  </si>
  <si>
    <t>16533055</t>
  </si>
  <si>
    <t>P01523</t>
  </si>
  <si>
    <t>CM3A_CONGE</t>
  </si>
  <si>
    <t>Mu-conotoxin GIIIA (G3.9) (Geographutoxin I) (GTx-I) (Myotoxin I)</t>
  </si>
  <si>
    <t>MMSKLGVLLTICLLLFPLTALPMDGDEPANRPVERMQDNISSEQYPLFEKRRDCCTPPKKCKDRQCKPQRCCAGR</t>
  </si>
  <si>
    <t>PROPEP 21..51; /evidence="ECO:0000269|PubMed:2410412, ECO:0000269|PubMed:6852238"; /id="PRO_0000246004"</t>
  </si>
  <si>
    <t>PEPTIDE 52..73; /note="Mu-conotoxin GIIIA"; /evidence="ECO:0000269|PubMed:2410412, ECO:0000269|PubMed:6852238"; /id="PRO_0000044493"</t>
  </si>
  <si>
    <t>PTM: Hydroxylated; hydroxylations improve the ability to block Nav1.4/SCN4A sodium channels but does not affect folding. {ECO:0000269|PubMed:1991506, ECO:0000269|PubMed:2069951}.</t>
  </si>
  <si>
    <t>DISULFID 54..66; /evidence="ECO:0000269|PubMed:1335283, ECO:0000269|PubMed:1991506, ECO:0000269|PubMed:2069951, ECO:0000269|PubMed:2338142, ECO:0000312|PDB:1TCG, ECO:0000312|PDB:1TCH, ECO:0000312|PDB:1TCJ, ECO:0000312|PDB:1TCK"; DISULFID 55..71; /evidence="ECO:0000269|PubMed:1335283, ECO:0000269|PubMed:1991506, ECO:0000269|PubMed:2069951, ECO:0000269|PubMed:2338142, ECO:0000312|PDB:1TCG, ECO:0000312|PDB:1TCH, ECO:0000312|PDB:1TCJ, ECO:0000312|PDB:1TCK"; DISULFID 61..72; /evidence="ECO:0000269|PubMed:1335283, ECO:0000269|PubMed:1991506, ECO:0000269|PubMed:2069951, ECO:0000269|PubMed:2338142, ECO:0000312|PDB:1TCG, ECO:0000312|PDB:1TCH, ECO:0000312|PDB:1TCJ, ECO:0000312|PDB:1TCK"</t>
  </si>
  <si>
    <t>24662800; 15924437; 2410412; 6852238; 2338142; 1654319; 1326324; 10627583; 18189422; 18950653; 21652775; 30360356; 1991506; 2069951; 1335283</t>
  </si>
  <si>
    <t>P0C195</t>
  </si>
  <si>
    <t>CM3A_CONKI</t>
  </si>
  <si>
    <t>Conus kinoshitai (Kinoshita's cone)</t>
  </si>
  <si>
    <t>Mu-conotoxin KIIIB [Cleaved into: Mu-conotoxin KIIIA]</t>
  </si>
  <si>
    <t>KRNGCCNCSSKWCRDHSRCCGR</t>
  </si>
  <si>
    <t>PROPEP &lt;1..2; /evidence="ECO:0000305|PubMed:23167564"; /id="PRO_0000442339"</t>
  </si>
  <si>
    <t>PEPTIDE 3..20; /note="Mu-conotoxin KIIIB"; /evidence="ECO:0000305|PubMed:23167564"; /id="PRO_0000442340"; PEPTIDE 5..20; /note="Mu-conotoxin KIIIA"; /evidence="ECO:0000305|PubMed:15882064"; /id="PRO_0000232662"</t>
  </si>
  <si>
    <t>PTM: Toxins with three different disulfide connectivities have been synthesized (PubMed:35167877, PubMed:23167564). The conotoxin mu-KIIIA-P1 shows the connectivity C1-C5, C2-C4, and C3-C6, whereas mu-KIIIA-P2 shows the connectivity C1-C6, C2-C4, and C3-C5 (PubMed:23167564). The conotoxin mu-KIIIA-N has the 'native' fold of the mu-conotoxin family (C1-C4, C2-C5, and C3-C6) (PubMed:35167877). Mu-KIIIA-P1 and mu-KIIIA-P2 are obtained by both thermodynamic oxidative folding and regioselective synthesis (PubMed:35167877, PubMed:23167564). Mu-KIIIA-P1 is the major oxidative folding product (PubMed:23167564). Mu-KIIIA-N is only obtained by regioselective synthesis (PubMed:35167877). {ECO:0000269|PubMed:23167564, ECO:0000269|PubMed:35167877}.</t>
  </si>
  <si>
    <t>DISULFID 5..20; /note="in KIIIA-P2 and KIIIB-P1; alternate"; /evidence="ECO:0000305|PubMed:23167564"; DISULFID 5..19; /note="in KIIIA-P1 and KIIIB-P2; alternate"; /evidence="ECO:0000305|PubMed:23167564, ECO:0000305|PubMed:30765605, ECO:0007744|PDB:2LXG, ECO:0007744|PDB:6J8E"; DISULFID 5..13; /note="in KIIIA-M; alternate"; /evidence="ECO:0000305|PubMed:35167877"; DISULFID 6..19; /note="in KIIIA-M; alternate"; /evidence="ECO:0000305|PubMed:35167877"; DISULFID 6..13; /note="in KIIIA-P1, KIIIA-P2, KIIIB-P1 and KIIIB-P2; alternate"; /evidence="ECO:0000305|PubMed:23167564, ECO:0000305|PubMed:30765605, ECO:0007744|PDB:2LXG, ECO:0007744|PDB:6J8E"; DISULFID 8..20; /note="in KIIIA-P1, KIIIB-P2 and KIIIA-M; alternate"; /evidence="ECO:0000305|PubMed:23167564, ECO:0000305|PubMed:30765605, ECO:0007744|PDB:2LXG, ECO:0007744|PDB:6J8E"; DISULFID 8..19; /note="in KIIIA-P2 and KIIIB-P1; alternate"; /evidence="ECO:0000305|PubMed:23167564"</t>
  </si>
  <si>
    <t>15882064; 17724025; 18950653; 19221510; 21781281; 21709136; 21652775; 23146020; 25658507; 19170536; 23167564; 30765605; 35167877</t>
  </si>
  <si>
    <t>P58925</t>
  </si>
  <si>
    <t>CM3A_CONPU</t>
  </si>
  <si>
    <t>Mu-conotoxin PIIIA (Mu-conotoxin P3.7)</t>
  </si>
  <si>
    <t>MSKLGVLLTICLLLFPITALPMDGDQPADRLAERMQDNISSEEHPFEKRQRLCCGFPKSCRSRQCKPHRCCGR</t>
  </si>
  <si>
    <t>PROPEP 20..49; /evidence="ECO:0000305|PubMed:9614224"; /id="PRO_0000035053"</t>
  </si>
  <si>
    <t>PEPTIDE 50..71; /note="Mu-conotoxin PIIIA"; /evidence="ECO:0000305|PubMed:9614224"; /id="PRO_0000035054"</t>
  </si>
  <si>
    <t>PTM: 3D-structure of 3 disulfide-bond connectivities isomers is described (PIIIA-1 (C1-C5, C2-C6, C3-C4), PIIIA-2 (C1-C4, C2-C5, C3-C6) and PIIIA-3 (C1-C2, C3-C4, C5-C6)) (PubMed:22407516). Only PIIIA-2 contains the cysteine connectivity described as typical for native mu-conotoxins. However, PIIIA-1 is more potent than PIIIA-2, suggesting another possible disulfid connectivity. For this reason, both connectivities have been indicated in features. {ECO:0000269|PubMed:22407516}.</t>
  </si>
  <si>
    <t>DISULFID 53..70; /note="In PIIIA-1; alternate"; /evidence="ECO:0000250|UniProtKB:P01523"; DISULFID 53..65; /note="In PIIIA-2; alternate"; /evidence="ECO:0000269|PubMed:12006587, ECO:0000312|PDB:1R9I"; DISULFID 54..71; /note="In PIIIA-1; alternate"; /evidence="ECO:0000250|UniProtKB:P01523"; DISULFID 54..70; /note="In PIIIA-2; alternate"; /evidence="ECO:0000269|PubMed:12006587, ECO:0000312|PDB:1R9I"; DISULFID 60..71; /note="In PIIIA-2; alternate"; /evidence="ECO:0000269|PubMed:12006587"; DISULFID 60..65; /note="In PIIIA-1; alternate"; /evidence="ECO:0000250|UniProtKB:P01523"</t>
  </si>
  <si>
    <t>15924437; 9614224; 10627583; 18950653; 22229737; 21652775; 23146020; 22407516; 12006587</t>
  </si>
  <si>
    <t>P60207</t>
  </si>
  <si>
    <t>CM3A_CONSE</t>
  </si>
  <si>
    <t>Mu-conotoxin SmIIIA</t>
  </si>
  <si>
    <t>PLFDKRQRCCNGRRGCSSRWCRDHSRCCGRR</t>
  </si>
  <si>
    <t>PROPEP &lt;1..6; /evidence="ECO:0000305"; /id="PRO_0000035055"</t>
  </si>
  <si>
    <t>PEPTIDE 7..28; /note="Mu-conotoxin SmIIIA"; /evidence="ECO:0000305|PubMed:12970353"; /id="PRO_0000035056"</t>
  </si>
  <si>
    <t>PTM: SmIIIA' is a putative isoform where the N-terminal AA is missing.</t>
  </si>
  <si>
    <t>DISULFID 9..21; /evidence="ECO:0000269|PubMed:12970353"; DISULFID 10..27; /evidence="ECO:0000269|PubMed:12970353"; DISULFID 16..28; /evidence="ECO:0000269|PubMed:12970353"</t>
  </si>
  <si>
    <t>12484778; 21652775; 22229737; 23146020; 12970353</t>
  </si>
  <si>
    <t>Q86DU6</t>
  </si>
  <si>
    <t>CM3A_CONST</t>
  </si>
  <si>
    <t>Mu-conotoxin SIIIA</t>
  </si>
  <si>
    <t>MMSKLGVLLTVCPLLFPLTALPPDGDQPADRPAERMQDDISSDEHPLFDKRQNCCNGGCSSKWCRDHARCCGR</t>
  </si>
  <si>
    <t>PROPEP 21..49; /evidence="ECO:0000250"; /id="PRO_0000035057"</t>
  </si>
  <si>
    <t>PEPTIDE 52..71; /note="Mu-conotoxin SIIIA"; /id="PRO_0000035058"</t>
  </si>
  <si>
    <t>DISULFID 54..64; /evidence="ECO:0000269|PubMed:18798648"; DISULFID 55..70; /evidence="ECO:0000269|PubMed:18798648"; DISULFID 59..71; /evidence="ECO:0000269|PubMed:18798648"</t>
  </si>
  <si>
    <t>16325217; 15882064; 18522941; 21652775; 22733528; 22229737; 18798648</t>
  </si>
  <si>
    <t>C1J5M6</t>
  </si>
  <si>
    <t>CM3B_CONBU</t>
  </si>
  <si>
    <t>Mu-conotoxin BuIIIB (Conotoxin Bu16)</t>
  </si>
  <si>
    <t>MMSKLGVLLTICLLLFPLFALPQDGDQPADRPAERMQDDISSEQNPLLEKRVGERCCKNGKRGCGRWCRDHSRCCGRR</t>
  </si>
  <si>
    <t>PROPEP 23..51; /evidence="ECO:0000250"; /id="PRO_0000384433"</t>
  </si>
  <si>
    <t>PEPTIDE 52..75; /note="Mu-conotoxin BuIIIB"; /evidence="ECO:0000305|PubMed:18950653"; /id="PRO_0000384434"</t>
  </si>
  <si>
    <t>DISULFID 56..68; /evidence="ECO:0000269|PubMed:23557677, ECO:0000312|PDB:2LO9, ECO:0000312|PDB:2LOC"; DISULFID 57..74; /evidence="ECO:0000269|PubMed:23557677, ECO:0000312|PDB:2LO9, ECO:0000312|PDB:2LOC"; DISULFID 64..75; /evidence="ECO:0000269|PubMed:23557677, ECO:0000312|PDB:2LO9, ECO:0000312|PDB:2LOC"</t>
  </si>
  <si>
    <t>18950653; 21266071; 21652775; 25632083; 23557677</t>
  </si>
  <si>
    <t>P0C1U0</t>
  </si>
  <si>
    <t>CM3B_CONCN</t>
  </si>
  <si>
    <t>Mu-conotoxin CnIIIB</t>
  </si>
  <si>
    <t>QGCCGEPNLCFTRWCRNNARCCRQQ</t>
  </si>
  <si>
    <t>PEPTIDE 1..25; /note="Mu-conotoxin CnIIIB"; /id="PRO_0000249199"</t>
  </si>
  <si>
    <t>16533055; 22705119</t>
  </si>
  <si>
    <t>P01524</t>
  </si>
  <si>
    <t>CM3B_CONGE</t>
  </si>
  <si>
    <t>Mu-conotoxin GIIIB (Geographutoxin II) (GTx-II) (Myotoxin II)</t>
  </si>
  <si>
    <t>RDCCTPPRKCKDRRCKPMKCCA</t>
  </si>
  <si>
    <t>PEPTIDE 1..22; /note="Mu-conotoxin GIIIB"; /evidence="ECO:0000269|PubMed:2410412, ECO:0000269|PubMed:6852238"; /id="PRO_0000044494"</t>
  </si>
  <si>
    <t>DISULFID 3..15; /evidence="ECO:0000269|PubMed:8688418, ECO:0007744|PDB:1GIB"; DISULFID 4..20; /evidence="ECO:0000269|PubMed:8688418, ECO:0007744|PDB:1GIB"; DISULFID 10..21; /evidence="ECO:0000269|PubMed:8688418, ECO:0007744|PDB:1GIB"</t>
  </si>
  <si>
    <t>2410412; 6852238; 8688418</t>
  </si>
  <si>
    <t>P0CH16</t>
  </si>
  <si>
    <t>CM3B_CONPI</t>
  </si>
  <si>
    <t>Mu-conotoxin-like pr3b</t>
  </si>
  <si>
    <t>ERVCCGYPMSCKSRACKPSYCC</t>
  </si>
  <si>
    <t>PEPTIDE 1..22; /note="Mu-conotoxin-like pr3b"; /id="PRO_0000397114"</t>
  </si>
  <si>
    <t>DISULFID 4..16; /evidence="ECO:0000250|UniProtKB:P01523"; DISULFID 5..21; /evidence="ECO:0000250|UniProtKB:P01523"; DISULFID 11..22; /evidence="ECO:0000250|UniProtKB:P01523"</t>
  </si>
  <si>
    <t>20570703</t>
  </si>
  <si>
    <t>P0C8V3</t>
  </si>
  <si>
    <t>CM3B_CONSR</t>
  </si>
  <si>
    <t>Mu-conotoxin-like SxIIIB</t>
  </si>
  <si>
    <t>QKCCTGKKGSCSGRACKNLRCCA</t>
  </si>
  <si>
    <t>PEPTIDE 1..23; /note="Mu-conotoxin-like SxIIIB"; /evidence="ECO:0000305|PubMed:18831583"; /id="PRO_0000366073"</t>
  </si>
  <si>
    <t>DISULFID 3..16; /evidence="ECO:0000250|UniProtKB:P01523, ECO:0000305|PubMed:18831583"; DISULFID 4..21; /evidence="ECO:0000250|UniProtKB:P01523, ECO:0000305|PubMed:18831583"; DISULFID 11..22; /evidence="ECO:0000250|UniProtKB:P01523, ECO:0000305|PubMed:18831583"</t>
  </si>
  <si>
    <t>18831583</t>
  </si>
  <si>
    <t>C1J5M7</t>
  </si>
  <si>
    <t>CM3C_CONBU</t>
  </si>
  <si>
    <t>Mu-conotoxin BuIIIC</t>
  </si>
  <si>
    <t>MMSKLGVLLTICLLLFPLFALPQDGDQPADRPAERMQDDLSSEQHPLFEKRIVDRCCNKGNGKRGCSRWCRDHSRCCGRR</t>
  </si>
  <si>
    <t>PROPEP 23..51; /evidence="ECO:0000250"; /id="PRO_0000384435"</t>
  </si>
  <si>
    <t>PEPTIDE 52..77; /note="Mu-conotoxin BuIIIC"; /evidence="ECO:0000305|PubMed:18950653"; /id="PRO_0000384436"</t>
  </si>
  <si>
    <t>DISULFID 56..70; /evidence="ECO:0000250|UniProtKB:C1J5M6"; DISULFID 57..76; /evidence="ECO:0000250|UniProtKB:C1J5M6"; DISULFID 66..77; /evidence="ECO:0000250|UniProtKB:C1J5M6"</t>
  </si>
  <si>
    <t>18950653; 22773842</t>
  </si>
  <si>
    <t>Q9BP55</t>
  </si>
  <si>
    <t>CM4C_CONPE</t>
  </si>
  <si>
    <t>Mu-conotoxin pn4c (Mu-conotoxin-like PnMMSK-D013)</t>
  </si>
  <si>
    <t>DQPAERMQDDISSEHHPFFDPVKRCCKYGWTCVLGCSPCGC</t>
  </si>
  <si>
    <t>PROPEP &lt;1..24; /evidence="ECO:0000250"; /id="PRO_0000404928"</t>
  </si>
  <si>
    <t>PEPTIDE 25..41; /note="Mu-conotoxin pn4c"; /evidence="ECO:0000269|PubMed:28831846"; /id="PRO_0000404929"</t>
  </si>
  <si>
    <t>PTM: Contains 3 disulfide bonds. They are not added, since framework IV presents two different connectivities (I-V, II-III, IV-VI and I-III, II-V, IV-VI). {ECO:0000305}.</t>
  </si>
  <si>
    <t>11158371; 28831846</t>
  </si>
  <si>
    <t>P0C8V5</t>
  </si>
  <si>
    <t>O161_CONAH</t>
  </si>
  <si>
    <t>Delta-conotoxin-like Ac6.1</t>
  </si>
  <si>
    <t>MKLTCVVIVAVLFLTAWTFVMADDSRYGLKDLFPKARHEMKNPEASKLNKRDECFSPGTFCGIKPGLCCSAWCYSFFCLTLTF</t>
  </si>
  <si>
    <t>PROPEP 23..51; /evidence="ECO:0000250"; /id="PRO_0000366083"</t>
  </si>
  <si>
    <t>PEPTIDE 52..83; /note="Delta-conotoxin-like Ac6.1"; /id="PRO_0000366084"</t>
  </si>
  <si>
    <t>DISULFID 54..69; /evidence="ECO:0000250"; DISULFID 61..73; /evidence="ECO:0000250"; DISULFID 68..78; /evidence="ECO:0000250"</t>
  </si>
  <si>
    <t>P0CB09</t>
  </si>
  <si>
    <t>O161_CONAJ</t>
  </si>
  <si>
    <t>Delta-conotoxin-like Ai6.1</t>
  </si>
  <si>
    <t>MKLTCVMIVAVLFLTAWTFATADDPRNGLGNLFSNAHHEMKNPEASKLNKRWCKQSGEMCNLLDQNCCEGYCIVLVCT</t>
  </si>
  <si>
    <t>PROPEP 23..49; /evidence="ECO:0000250"; /id="PRO_0000380620"</t>
  </si>
  <si>
    <t>PEPTIDE 52..78; /note="Delta-conotoxin-like Ai6.1"; /id="PRO_0000380621"</t>
  </si>
  <si>
    <t>DISULFID 53..68; /evidence="ECO:0000250"; DISULFID 60..72; /evidence="ECO:0000250"; DISULFID 67..77; /evidence="ECO:0000250"</t>
  </si>
  <si>
    <t>P0C8V6</t>
  </si>
  <si>
    <t>O162_CONAH</t>
  </si>
  <si>
    <t>Delta-conotoxin-like Ac6.2</t>
  </si>
  <si>
    <t>MKLTCVVIVAVLFLTAWTFVTADDSRYGLKNLFPKARHEMKNPEASKLNKRDECYPPGTFCGIKPGLCCSERCFPFVCLSLEF</t>
  </si>
  <si>
    <t>PROPEP 23..51; /evidence="ECO:0000269|PubMed:18286662"; /id="PRO_0000366085"</t>
  </si>
  <si>
    <t>PEPTIDE 52..83; /note="Delta-conotoxin-like Ac6.2"; /id="PRO_0000366086"</t>
  </si>
  <si>
    <t>P58913</t>
  </si>
  <si>
    <t>O16A_CONPU</t>
  </si>
  <si>
    <t>Delta-conotoxin PVIA (Lockjaw peptide)</t>
  </si>
  <si>
    <t>MKLTCVMIVAVLFLTAWTFVTADDSKNGLENHFWKARDEMKNREASKLDKKEACYAPGTFCGIKPGLCCSEFCLPGVCFGG</t>
  </si>
  <si>
    <t>PROPEP 23..49; /evidence="ECO:0000269|PubMed:7711013"; /id="PRO_0000034898"</t>
  </si>
  <si>
    <t>PEPTIDE 52..80; /note="Delta-conotoxin PVIA"; /evidence="ECO:0000269|PubMed:7711013"; /id="PRO_0000034899"</t>
  </si>
  <si>
    <t>PTM: The difference between delta-conotoxin PVIA and [deamido]-delta-conotoxin PVIA lies in the state of amidation of Gly-80.</t>
  </si>
  <si>
    <t>DISULFID 54..69; /evidence="ECO:0000250|UniProtKB:P56714"; DISULFID 61..73; /evidence="ECO:0000250|UniProtKB:P56714"; DISULFID 68..78; /evidence="ECO:0000250|UniProtKB:P56714"</t>
  </si>
  <si>
    <t>7711013; 12074021; 10627583; 11683628</t>
  </si>
  <si>
    <t>Q26443</t>
  </si>
  <si>
    <t>O16B_CONMR</t>
  </si>
  <si>
    <t>Mu-conotoxin MrVIB (CGX-1002)</t>
  </si>
  <si>
    <t>MKLTCMMIVAVLFLTAWTLVMADDSNNGLANHFLKSRDEMEDPEASKLEKRACSKKWEYCIVPILGFVYCCPGLICGPFVCV</t>
  </si>
  <si>
    <t>PROPEP 23..49; /evidence="ECO:0000269|PubMed:7622492, ECO:0000269|PubMed:7727394"; /id="PRO_0000034902"</t>
  </si>
  <si>
    <t>PEPTIDE 52..82; /note="Mu-conotoxin MrVIB"; /evidence="ECO:0000269|PubMed:7622492, ECO:0000269|PubMed:7727394"; /id="PRO_0000034903"</t>
  </si>
  <si>
    <t>DISULFID 53..71; /evidence="ECO:0000269|PubMed:15044438, ECO:0000312|PDB:1RMK"; DISULFID 60..76; /evidence="ECO:0000269|PubMed:15044438, ECO:0000312|PDB:1RMK"; DISULFID 70..81; /evidence="ECO:0000269|PubMed:15044438, ECO:0000312|PDB:1RMK"</t>
  </si>
  <si>
    <t>7622492; 7727394; 15044438; 16752929; 16458302</t>
  </si>
  <si>
    <t>P60179</t>
  </si>
  <si>
    <t>O166_CONAA</t>
  </si>
  <si>
    <t>Delta-conotoxin Am2766 (Am 2766) (Delta-Am2766)</t>
  </si>
  <si>
    <t>CKQAGESCDIFSQNCCVGTCAFICIE</t>
  </si>
  <si>
    <t>PEPTIDE 1..26; /note="Delta-conotoxin Am2766"; /evidence="ECO:0000269|PubMed:14550575"; /id="PRO_0000044474"</t>
  </si>
  <si>
    <t>DISULFID 1..16; /evidence="ECO:0000269|PubMed:17192003"; DISULFID 8..20; /evidence="ECO:0000269|PubMed:17192003"; DISULFID 15..24; /evidence="ECO:0000269|PubMed:17192003"</t>
  </si>
  <si>
    <t>14550575; 17192003</t>
  </si>
  <si>
    <t>P69748</t>
  </si>
  <si>
    <t>O16A_CONAI</t>
  </si>
  <si>
    <t>Conus aurisiacus (Aurisiacus cone)</t>
  </si>
  <si>
    <t>Delta-conotoxin-like AVIA (Delta-AVIA)</t>
  </si>
  <si>
    <t>MKLTCVMTVAVLFLTAWTFVTADDSRNGLKNLFPKARHEMKNPEASKLNKRDGCSNAGAFCGIHPGLCCSEICIVWCT</t>
  </si>
  <si>
    <t>PROPEP 23..49; /evidence="ECO:0000250"; /id="PRO_0000392695"</t>
  </si>
  <si>
    <t>PEPTIDE 52..78; /note="Delta-conotoxin-like AVIA"; /id="PRO_0000044468"</t>
  </si>
  <si>
    <t>11683628</t>
  </si>
  <si>
    <t>P69749</t>
  </si>
  <si>
    <t>O16A_CONBU</t>
  </si>
  <si>
    <t>Delta-conotoxin BuVIA (Conotoxin Bu7) (Delta-conotoxin-like BVIA) (Delta-BVIA)</t>
  </si>
  <si>
    <t>MKLTCVMIVTVLFLTAWTFVTADDSTYGLKNLLPNGRHEMMNPEAPKLNKKDECSAPGAFCLIRPGLCCSEFCFFACF</t>
  </si>
  <si>
    <t>CONFLICT 6; /note="V -&gt; M (in Ref. 2; no nucleotide entry)"; /evidence="ECO:0000305"; CONFLICT 35..36; /note="NG -&gt; KA (in Ref. 2; no nucleotide entry)"; /evidence="ECO:0000305"</t>
  </si>
  <si>
    <t>PROPEP 23..49; /evidence="ECO:0000250"; /id="PRO_0000392696"</t>
  </si>
  <si>
    <t>PEPTIDE 52..78; /note="Delta-conotoxin BuVIA"; /id="PRO_0000044469"</t>
  </si>
  <si>
    <t>21266071; 11683628</t>
  </si>
  <si>
    <t>P69750</t>
  </si>
  <si>
    <t>O16A_CONCN</t>
  </si>
  <si>
    <t>Delta-conotoxin-like CnVIA (Delta-CnVIA)</t>
  </si>
  <si>
    <t>MKLTCMMIVAVLFLTAWTFVTADDSRNGLENLSPKARHEMKNPEASKSNKRYECYSTGTFCGINGGLCCSNLCLFFVCLTFS</t>
  </si>
  <si>
    <t>PROPEP 23..49; /evidence="ECO:0000250"; /id="PRO_0000392697"</t>
  </si>
  <si>
    <t>PEPTIDE 52..82; /note="Delta-conotoxin-like CnVIA"; /id="PRO_0000044867"</t>
  </si>
  <si>
    <t>11683628; 19457347</t>
  </si>
  <si>
    <t>P60513</t>
  </si>
  <si>
    <t>U6A_CONER</t>
  </si>
  <si>
    <t>Delta-conotoxin EVIA (Delta-EVIA)</t>
  </si>
  <si>
    <t>DDCIKPYGFCSLPILKNGLCCSGACVGVCADL</t>
  </si>
  <si>
    <t>PEPTIDE 1..32; /note="Delta-conotoxin EVIA"; /evidence="ECO:0000269|PubMed:14615484"; /id="PRO_0000044868"</t>
  </si>
  <si>
    <t>DISULFID 3..21; /evidence="ECO:0000269|PubMed:14976206, ECO:0000312|PDB:1G1P, ECO:0000312|PDB:1G1Z"; DISULFID 10..25; /evidence="ECO:0000269|PubMed:14976206, ECO:0000312|PDB:1G1P, ECO:0000312|PDB:1G1Z"; DISULFID 20..29; /evidence="ECO:0000269|PubMed:14976206, ECO:0000312|PDB:1G1P, ECO:0000312|PDB:1G1Z"</t>
  </si>
  <si>
    <t>14615484; 14976206</t>
  </si>
  <si>
    <t>Q9TWM7</t>
  </si>
  <si>
    <t>O16A_CONGL</t>
  </si>
  <si>
    <t>Conus gloriamaris (Glory-of-the-Sea cone)</t>
  </si>
  <si>
    <t>Delta-conotoxin GmVIA</t>
  </si>
  <si>
    <t>MKLTCMMIVAVLFLTAWTFVTADDSGNGMEILFPKAGHEMENLEVSNRVKPCRKEGQLCDPIFQNCCRGWNCVLFCV</t>
  </si>
  <si>
    <t>PROPEP 23..48; /evidence="ECO:0000269|PubMed:7918355"; /id="PRO_0000392699"</t>
  </si>
  <si>
    <t>PEPTIDE 49..77; /note="Delta-conotoxin GmVIA"; /evidence="ECO:0000269|PubMed:7918355"; /id="PRO_0000044472"</t>
  </si>
  <si>
    <t>DISULFID 52..67; /evidence="ECO:0000269|PubMed:7918355"; DISULFID 59..72; /evidence="ECO:0000269|PubMed:7918355"; DISULFID 66..76; /evidence="ECO:0000269|PubMed:7918355"</t>
  </si>
  <si>
    <t>7918355; 7608772; 10627583</t>
  </si>
  <si>
    <t>P69753</t>
  </si>
  <si>
    <t>O16A_CONMA</t>
  </si>
  <si>
    <t>Delta-conotoxin-like MVIA (Delta-MVIA)</t>
  </si>
  <si>
    <t>MKLTCVMIVAVLFLTTWTFVTADDSRYGLKNLFPKARHEMKNPEASKLNKRDGCYNAGTFCGIRPGLCCSEFCFLWCITFVDSG</t>
  </si>
  <si>
    <t>PROPEP 23..49; /evidence="ECO:0000250"; /id="PRO_0000392700"</t>
  </si>
  <si>
    <t>PEPTIDE 52..83; /note="Delta-conotoxin-like MVIA"; /id="PRO_0000044869"</t>
  </si>
  <si>
    <t>P69755</t>
  </si>
  <si>
    <t>O16C_CONMA</t>
  </si>
  <si>
    <t>Delta-conotoxin-like MVIC (Delta-MVIC)</t>
  </si>
  <si>
    <t>MKLTCVMIVAVLFLTTWTFVTADDSRYGLKNLFPKARHEMKNPEASKLNKRDECYPPGTFCGIKPGLCCSAICLSFVCISFDF</t>
  </si>
  <si>
    <t>PROPEP 23..49; /evidence="ECO:0000250"; /id="PRO_0000392702"</t>
  </si>
  <si>
    <t>PEPTIDE 52..83; /note="Delta-conotoxin-like MVIC"; /id="PRO_0000044871"</t>
  </si>
  <si>
    <t>P0CC15</t>
  </si>
  <si>
    <t>O16D_CONCN</t>
  </si>
  <si>
    <t>Delta-conotoxin-like CnVID (Delta-CnVID)</t>
  </si>
  <si>
    <t>DECFSPGTFCGFKPGLCCSARCFSLFCISLEF</t>
  </si>
  <si>
    <t>PEPTIDE 1..32; /note="Delta-conotoxin-like CnVID"; /id="PRO_0000390925"</t>
  </si>
  <si>
    <t>DISULFID 3..18; /evidence="ECO:0000269|PubMed:25352593"; DISULFID 10..22; /evidence="ECO:0000269|PubMed:25352593"; DISULFID 17..27; /evidence="ECO:0000269|PubMed:25352593"</t>
  </si>
  <si>
    <t>25352593; 19457347</t>
  </si>
  <si>
    <t>A6YR20</t>
  </si>
  <si>
    <t>COC1A_CONCL</t>
  </si>
  <si>
    <t>Mu-conotoxin cal12a (Conotoxin Cal 12.1.1a) (Conotoxin CalTx 12.1.1A)</t>
  </si>
  <si>
    <t>MKLTCVLVVLLLLLPYGDLITNNYIRGAARKVTPWRRNLKTRDVCDSLVGGHCIHNGCWCDQEAPHGNCCDTDGCTAAWWCPGTKWD</t>
  </si>
  <si>
    <t>PROPEP 20..42; /evidence="ECO:0000269|PubMed:21147978"; /id="PRO_0000392262"</t>
  </si>
  <si>
    <t>PEPTIDE 43..87; /note="Mu-conotoxin cal12a"; /id="PRO_0000392263"</t>
  </si>
  <si>
    <t>DISULFID 45..58; /evidence="ECO:0000305"; DISULFID 53..70; /evidence="ECO:0000250"; DISULFID 60..75; /evidence="ECO:0000250"; DISULFID 69..81; /evidence="ECO:0000250"</t>
  </si>
  <si>
    <t>21147978</t>
  </si>
  <si>
    <t>Q1A3R1</t>
  </si>
  <si>
    <t>CT54_CONLT</t>
  </si>
  <si>
    <t>Mu-conotoxin Lt5d (Lt5.4)</t>
  </si>
  <si>
    <t>MRCLPVFIILLLLIPSAPSVDAQPTTKDDVPLASLHDNAKRALQMFWNKRDCCPAKLLCCNP</t>
  </si>
  <si>
    <t>PROPEP 23..48; /id="PRO_0000315427"</t>
  </si>
  <si>
    <t>PEPTIDE 51..62; /note="Mu-conotoxin Lt5d"; /id="PRO_0000315428"</t>
  </si>
  <si>
    <t>PTM: Contains 2 disulfide bonds that can be either 'C1-C3, C2-C4' or 'C1-C4, C2-C3', since these disulfide connectivities have been observed for conotoxins with cysteine framework V (for examples, see AC P0DQQ7 and AC P81755). {ECO:0000305}.</t>
  </si>
  <si>
    <t>16908117; 23567999; 17961831</t>
  </si>
  <si>
    <t>Q9U657</t>
  </si>
  <si>
    <t>O1614_CONPE</t>
  </si>
  <si>
    <t>Mu-conotoxin-like PnMKLT1-014</t>
  </si>
  <si>
    <t>MNLTCMMIVAVLFLTAWTFVMADDSNNGLANLFSKSRYEMEDPEPSKLEKRKTCQRRWDFCPGALVGVITCCGGLICLGVMCI</t>
  </si>
  <si>
    <t>PROPEP 23..50; /evidence="ECO:0000250"; /id="PRO_0000404742"</t>
  </si>
  <si>
    <t>PEPTIDE 53..83; /note="Mu-conotoxin-like PnMKLT1-014"; /id="PRO_0000404743"</t>
  </si>
  <si>
    <t>DISULFID 54..72; /evidence="ECO:0000250"; DISULFID 61..77; /evidence="ECO:0000250"; DISULFID 71..82; /evidence="ECO:0000250"</t>
  </si>
  <si>
    <t>P58927</t>
  </si>
  <si>
    <t>CM4B_CONPE</t>
  </si>
  <si>
    <t>Mu-conotoxin PnIVB</t>
  </si>
  <si>
    <t>MMSKLGVLLIICLLLCPLTAVPQDGDQPADQPAERMQDDISSEHHPFFDPVKRCCKYGWTCWLGCSPCGC</t>
  </si>
  <si>
    <t>PROPEP 21..51; /evidence="ECO:0000305|PubMed:7612605"; /id="PRO_0000392725"</t>
  </si>
  <si>
    <t>PEPTIDE 54..70; /note="Mu-conotoxin PnIVB"; /evidence="ECO:0000269|PubMed:7612605"; /id="PRO_0000044497"</t>
  </si>
  <si>
    <t>PTM: Contains 3 disulfide bonds (By similarity). They are not added, since framework IV presents two different connectivities (I-V, II-III, IV-VI and I-III, II-V, IV-VI). {ECO:0000250}.</t>
  </si>
  <si>
    <t>11158371; 7612605; 7620628</t>
  </si>
  <si>
    <t>P0DKQ9</t>
  </si>
  <si>
    <t>CM31_CONTU</t>
  </si>
  <si>
    <t>Mu-conotoxin-like T3.1</t>
  </si>
  <si>
    <t>MSKLGVLLTICLLLFPLTALPMDGDEPADRPAERMQDNISSEQHPLFEERHGCCKGPEGCSSRECRPQHCCGRR</t>
  </si>
  <si>
    <t>PROPEP 20..74; /evidence="ECO:0000250"; /id="PRO_0000419898"</t>
  </si>
  <si>
    <t>PEPTIDE 51..71; /note="Mu-conotoxin-like T3.1"; /id="PRO_0000419899"</t>
  </si>
  <si>
    <t>DISULFID 53..65; /evidence="ECO:0000250|UniProtKB:P01523"; DISULFID 54..70; /evidence="ECO:0000250|UniProtKB:P01523"; DISULFID 60..71; /evidence="ECO:0000250|UniProtKB:P01523"</t>
  </si>
  <si>
    <t>22229737</t>
  </si>
  <si>
    <t>P24159</t>
  </si>
  <si>
    <t>O16B_CONTE</t>
  </si>
  <si>
    <t>Delta-conotoxin TxVIB (TxIB)</t>
  </si>
  <si>
    <t>WCKQSGEMCNVLDQNCCDGYCIVFVCT</t>
  </si>
  <si>
    <t>PEPTIDE 1..27; /note="Delta-conotoxin TxVIB"; /evidence="ECO:0000269|PubMed:1761058"; /id="PRO_0000044473"</t>
  </si>
  <si>
    <t>DISULFID 2..17; /evidence="ECO:0000250"; DISULFID 9..21; /evidence="ECO:0000250"; DISULFID 16..26; /evidence="ECO:0000250"</t>
  </si>
  <si>
    <t>1761058; 8261090</t>
  </si>
  <si>
    <t>P0CH13</t>
  </si>
  <si>
    <t>U7B_CONDE</t>
  </si>
  <si>
    <t>Conasprella delessertii (Sozon's cone) (Conus delessertii)</t>
  </si>
  <si>
    <t>Conotoxin de7b</t>
  </si>
  <si>
    <t>DCIPGGENCDVFRPYRCCSGYCILLLCA</t>
  </si>
  <si>
    <t>PEPTIDE 1..28; /note="Conotoxin de7b"; /id="PRO_0000396801"</t>
  </si>
  <si>
    <t>DISULFID 2..18; /evidence="ECO:0000250"; DISULFID 9..22; /evidence="ECO:0000250"; DISULFID 17..27; /evidence="ECO:0000250"</t>
  </si>
  <si>
    <t>19118590</t>
  </si>
  <si>
    <t>Q9U656</t>
  </si>
  <si>
    <t>O1613_CONTE</t>
  </si>
  <si>
    <t>Delta-conotoxin-like TxMKLT1-0111</t>
  </si>
  <si>
    <t>MKLTCMMIVAVLFLTAWTFATADDSGNGLENLFSNAHHQMKNPEASKLNKRWCKQSGEMCNLLDQNCCDGYCIVFVCT</t>
  </si>
  <si>
    <t>PROPEP 23..49; /evidence="ECO:0000250"; /id="PRO_0000404732"</t>
  </si>
  <si>
    <t>PEPTIDE 52..78; /note="Delta-conotoxin-like TxMKLT1-0111"; /id="PRO_0000404733"</t>
  </si>
  <si>
    <t>P17727</t>
  </si>
  <si>
    <t>TXL1_PHONI</t>
  </si>
  <si>
    <t>Mu-ctenitoxin-Pn1a (Mu-CNTX-Pn1a) (Toxin Tx1) (PNTx1) (PhTx1)</t>
  </si>
  <si>
    <t>MKLLGIFLVASFAFVLSFGEEMIEGENPLEDQRAELTSCFPVGHECDGDASNCNCCGDDVYCGCGWGRWNCKCKVADQSYAYGICKDKVNCPNRHLWPAKVCKKPCRRNCGG</t>
  </si>
  <si>
    <t>CONFLICT 109; /note="N -&gt; E (in Ref. 3; AA sequence)"; /evidence="ECO:0000305"</t>
  </si>
  <si>
    <t>PROPEP 20..33; /evidence="ECO:0000269|PubMed:16278100, ECO:0000269|PubMed:16505156, ECO:0000269|PubMed:1801316, ECO:0000269|PubMed:2335228"; /id="PRO_0000035492"</t>
  </si>
  <si>
    <t>PTM: Contains 7 disulfide bonds.</t>
  </si>
  <si>
    <t>DISULFID 39..56; /evidence="ECO:0000305"; DISULFID 46..62; /evidence="ECO:0000305"; DISULFID 53..85; /evidence="ECO:0000255"; DISULFID 55..73; /evidence="ECO:0000305"; DISULFID 64..71; /evidence="ECO:0000305"; DISULFID 91..106; /evidence="ECO:0000255"; DISULFID 102..110; /evidence="ECO:0000255"</t>
  </si>
  <si>
    <t>8340362; 16278100; 2335228; 1801316; 16505156; 9723834; 10585642; 16908187</t>
  </si>
  <si>
    <t>Keywords</t>
  </si>
  <si>
    <t>Amidation;Disulfide bond;Glycoprotein;Hydroxylation;Ion channel impairing toxin;Neurotoxin;Secreted;Toxin</t>
  </si>
  <si>
    <t>Bromination;Direct protein sequencing;Disulfide bond;Gamma-carboxyglutamic acid;Hydroxylation;Ion channel impairing toxin;Neurotoxin;Secreted;Signal;Toxin;Voltage-gated sodium channel impairing toxin</t>
  </si>
  <si>
    <t>Direct protein sequencing;Ion channel impairing toxin;Ionotropic glutamate receptor inhibitor;Neurotoxin;Postsynaptic neurotoxin;Potassium channel impairing toxin;Secreted;Signal;Toxin;Voltage-gated potassium channel impairing toxin;Voltage-gated sodium channel impairing toxin</t>
  </si>
  <si>
    <t>Direct protein sequencing;Ion channel impairing toxin;Neurotoxin;Potassium channel impairing toxin;Secreted;Signal;Toxin;Voltage-gated potassium channel impairing toxin</t>
  </si>
  <si>
    <t>Amidation;Cleavage on pair of basic residues;Disulfide bond;Ion channel impairing toxin;Neurotoxin;Secreted;Signal;Toxin;Voltage-gated sodium channel impairing toxin</t>
  </si>
  <si>
    <t>3D-structure;Amidation;Cleavage on pair of basic residues;Disulfide bond;Ion channel impairing toxin;Neurotoxin;Secreted;Signal;Toxin;Voltage-gated sodium channel impairing toxin</t>
  </si>
  <si>
    <t>Disulfide bond;Ion channel impairing toxin;Neurotoxin;Potassium channel impairing toxin;Secreted;Signal;Toxin;Voltage-gated potassium channel impairing toxin</t>
  </si>
  <si>
    <t>3D-structure;Alternative splicing;Calcium;Calcium channel;Calcium transport;Cell membrane;Disease variant;Disulfide bond;Epilepsy;Glycoprotein;Ion channel;Ion transport;Membrane;Metal-binding;Neurodegeneration;Phosphoprotein;Reference proteome;Repeat;Spinocerebellar ataxia;Transmembrane;Transmembrane helix;Transport;Triplet repeat expansion;Voltage-gated channel</t>
  </si>
  <si>
    <t>Alternative splicing;Calcium;Calcium channel;Calcium transport;Calmodulin-binding;Cell membrane;Cell projection;Disulfide bond;Glycoprotein;Ion channel;Ion transport;Membrane;Metal-binding;Phosphoprotein;Postsynaptic cell membrane;Reference proteome;Repeat;Synapse;Transmembrane;Transmembrane helix;Transport;Voltage-gated channel</t>
  </si>
  <si>
    <t>Calcium;Calcium channel;Calcium transport;Calmodulin-binding;Cell membrane;Disulfide bond;Glycoprotein;Ion channel;Ion transport;Membrane;Phosphoprotein;Reference proteome;Repeat;Transmembrane;Transmembrane helix;Transport;Voltage-gated channel</t>
  </si>
  <si>
    <t>Alternative splicing;ATP-binding;Calcium;Calcium channel;Calcium transport;Disulfide bond;Glycoprotein;Ion channel;Ion transport;Membrane;Metal-binding;Methylation;Nucleotide-binding;Phosphoprotein;Reference proteome;Repeat;Transmembrane;Transmembrane helix;Transport;Voltage-gated channel</t>
  </si>
  <si>
    <t>3D-structure;Amidation;Calcium channel impairing toxin;Direct protein sequencing;Disulfide bond;Hydroxylation;Ion channel impairing toxin;Knottin;Neurotoxin;Presynaptic neurotoxin;Secreted;Signal;Toxin;Voltage-gated calcium channel impairing toxin</t>
  </si>
  <si>
    <t>3D-structure;Amidation;Cleavage on pair of basic residues;Direct protein sequencing;Disulfide bond;Hydroxylation;Ion channel impairing toxin;Neurotoxin;Secreted;Signal;Toxin;Voltage-gated sodium channel impairing toxin</t>
  </si>
  <si>
    <t>3D-structure;Amidation;Direct protein sequencing;Disulfide bond;Hydroxylation;Ion channel impairing toxin;Neurotoxin;Secreted;Toxin;Voltage-gated sodium channel impairing toxin</t>
  </si>
  <si>
    <t>Calcium channel impairing toxin;Direct protein sequencing;Disulfide bond;Hydroxylation;Ion channel impairing toxin;Knottin;Neurotoxin;Presynaptic neurotoxin;Secreted;Toxin;Voltage-gated calcium channel impairing toxin</t>
  </si>
  <si>
    <t>3D-structure;Amidation;Calcium channel impairing toxin;Direct protein sequencing;Disulfide bond;Ion channel impairing toxin;Knottin;Neurotoxin;Pharmaceutical;Presynaptic neurotoxin;Secreted;Signal;Toxin;Voltage-gated calcium channel impairing toxin</t>
  </si>
  <si>
    <t>Amidation;Calcium channel impairing toxin;Direct protein sequencing;Disulfide bond;Ion channel impairing toxin;Knottin;Neurotoxin;Presynaptic neurotoxin;Secreted;Toxin;Voltage-gated calcium channel impairing toxin</t>
  </si>
  <si>
    <t>3D-structure;Calcium;Calcium channel;Calcium transport;Calmodulin-binding;Cell membrane;Direct protein sequencing;Disulfide bond;Glycoprotein;Ion channel;Ion transport;Membrane;Metal-binding;Phosphoprotein;Reference proteome;Repeat;Transmembrane;Transmembrane helix;Transport;Voltage-gated channel</t>
  </si>
  <si>
    <t>3D-structure;Amidation;Cleavage on pair of basic residues;Disulfide bond;Ion channel impairing toxin;Neurotoxin;Secreted;Toxin;Voltage-gated sodium channel impairing toxin</t>
  </si>
  <si>
    <t>Amidation;Disulfide bond;Ion channel impairing toxin;Neurotoxin;Secreted;Toxin;Voltage-gated sodium channel impairing toxin</t>
  </si>
  <si>
    <t>Disulfide bond;Ion channel impairing toxin;Neurotoxin;Pyrrolidone carboxylic acid;Secreted;Toxin;Voltage-gated sodium channel impairing toxin</t>
  </si>
  <si>
    <t>3D-structure;Amidation;Direct protein sequencing;Disulfide bond;Ion channel impairing toxin;Neurotoxin;Potassium channel impairing toxin;Protease inhibitor;Secreted;Serine protease inhibitor;Signal;Toxin;Voltage-gated potassium channel impairing toxin</t>
  </si>
  <si>
    <t>Amidation;Bromination;Calcium channel impairing toxin;D-amino acid;Direct protein sequencing;Disulfide bond;Hydroxylation;Ion channel impairing toxin;Neurotoxin;Secreted;Signal;Toxin;Voltage-gated calcium channel impairing toxin</t>
  </si>
  <si>
    <t>3D-structure;Amidation;D-amino acid;Direct protein sequencing;Disulfide bond;Hydroxylation;Ion channel impairing toxin;Neurotoxin;Secreted;Toxin</t>
  </si>
  <si>
    <t>D-amino acid;Disulfide bond;Ion channel impairing toxin;Neurotoxin;Secreted;Toxin;Voltage-gated sodium channel impairing toxin</t>
  </si>
  <si>
    <t>Amidation;Cleavage on pair of basic residues;Disulfide bond;Gamma-carboxyglutamic acid;Hydroxylation;Ion channel impairing toxin;Neurotoxin;Potassium channel impairing toxin;Secreted;Signal;Toxin</t>
  </si>
  <si>
    <t>Amidation;Direct protein sequencing;Disulfide bond;Ion channel impairing toxin;Neurotoxin;Secreted;Toxin</t>
  </si>
  <si>
    <t>Amidation;Direct protein sequencing;Disulfide bond;Hydroxylation;Ion channel impairing toxin;Neurotoxin;Secreted;Toxin;Voltage-gated sodium channel impairing toxin</t>
  </si>
  <si>
    <t>Disulfide bond;Ion channel impairing toxin;Neurotoxin;Secreted;Toxin;Voltage-gated sodium channel impairing toxin</t>
  </si>
  <si>
    <t>Amidation;Direct protein sequencing;Disulfide bond;Gamma-carboxyglutamic acid;Ion channel impairing toxin;Neurotoxin;Potassium channel impairing toxin;Secreted;Toxin;Voltage-gated potassium channel impairing toxin</t>
  </si>
  <si>
    <t>Direct protein sequencing;Disulfide bond;Neurotoxin;Secreted;Toxin</t>
  </si>
  <si>
    <t>Amidation;Direct protein sequencing;Disulfide bond;Glycoprotein;Hydroxylation;Ion channel impairing toxin;Neurotoxin;Pyrrolidone carboxylic acid;Secreted;Signal;Toxin;Voltage-gated sodium channel impairing toxin</t>
  </si>
  <si>
    <t>Amidation;Calcium channel impairing toxin;Disulfide bond;Ion channel impairing toxin;Knottin;Neurotoxin;Presynaptic neurotoxin;Secreted;Signal;Toxin;Voltage-gated calcium channel impairing toxin</t>
  </si>
  <si>
    <t>Amidation;Calcium channel impairing toxin;Disulfide bond;Ion channel impairing toxin;Knottin;Neurotoxin;Presynaptic neurotoxin;Secreted;Toxin;Voltage-gated calcium channel impairing toxin</t>
  </si>
  <si>
    <t>Calcium;Disulfide bond;Gamma-carboxyglutamic acid;Ion channel impairing toxin;Ionotropic glutamate receptor inhibitor;Magnesium;Metal-binding;Neurotoxin;Postsynaptic neurotoxin;Secreted;Signal;Toxin</t>
  </si>
  <si>
    <t>Calcium;Direct protein sequencing;Gamma-carboxyglutamic acid;Ion channel impairing toxin;Ionotropic glutamate receptor inhibitor;Magnesium;Metal-binding;Neurotoxin;Postsynaptic neurotoxin;Secreted;Toxin</t>
  </si>
  <si>
    <t>Calcium;Direct protein sequencing;Gamma-carboxyglutamic acid;Hydroxylation;Ion channel impairing toxin;Ionotropic glutamate receptor inhibitor;Magnesium;Metal-binding;Neurotoxin;Postsynaptic neurotoxin;Secreted;Toxin</t>
  </si>
  <si>
    <t>Amidation;Disulfide bond;Ion channel impairing toxin;Neurotoxin;Pyrrolidone carboxylic acid;Secreted;Toxin;Voltage-gated sodium channel impairing toxin</t>
  </si>
  <si>
    <t>Cleavage on pair of basic residues;Direct protein sequencing;Disulfide bond;Hydroxylation;Ion channel impairing toxin;Knottin;Neurotoxin;Secreted;Signal;Toxin;Voltage-gated sodium channel impairing toxin</t>
  </si>
  <si>
    <t>Amidation;Calcium channel impairing toxin;Direct protein sequencing;Disulfide bond;Ion channel impairing toxin;Knottin;Neurotoxin;Presynaptic neurotoxin;Secreted;Signal;Toxin;Voltage-gated calcium channel impairing toxin</t>
  </si>
  <si>
    <t>Amidation;Disulfide bond;Gamma-carboxyglutamic acid;Glycoprotein;Hydroxylation;Ion channel impairing toxin;Neurotoxin;Pyrrolidone carboxylic acid;Secreted;Toxin</t>
  </si>
  <si>
    <t>Cleavage on pair of basic residues;Disulfide bond;Ion channel impairing toxin;Knottin;Neurotoxin;Secreted;Signal;Toxin;Voltage-gated sodium channel impairing toxin</t>
  </si>
  <si>
    <t>Calcium channel impairing toxin;Cleavage on pair of basic residues;Disulfide bond;Ion channel impairing toxin;Knottin;Neurotoxin;Presynaptic neurotoxin;Secreted;Signal;Toxin;Voltage-gated calcium channel impairing toxin</t>
  </si>
  <si>
    <t>Direct protein sequencing;Disulfide bond;Hydroxylation;Ion channel impairing toxin;Knottin;Neurotoxin;Presynaptic neurotoxin;Secreted;Toxin;Voltage-gated sodium channel impairing toxin</t>
  </si>
  <si>
    <t>Amidation;Disulfide bond;Glycoprotein;Hydroxylation;Ion channel impairing toxin;Neurotoxin;Pyrrolidone carboxylic acid;Secreted;Signal;Toxin;Voltage-gated sodium channel impairing toxin</t>
  </si>
  <si>
    <t>Direct protein sequencing;Disulfide bond;Hydroxylation;Ion channel impairing toxin;Neurotoxin;Potassium channel impairing toxin;Secreted;Toxin;Voltage-gated potassium channel impairing toxin</t>
  </si>
  <si>
    <t>Calcium channel impairing toxin;Direct protein sequencing;Disulfide bond;Gamma-carboxyglutamic acid;Hydroxylation;Ion channel impairing toxin;Knottin;Neurotoxin;Secreted;Toxin;Voltage-gated calcium channel impairing toxin;Voltage-gated sodium channel impairing toxin</t>
  </si>
  <si>
    <t>Calcium channel impairing toxin;Direct protein sequencing;Disulfide bond;Ion channel impairing toxin;Neurotoxin;Presynaptic neurotoxin;Secreted;Toxin;Voltage-gated calcium channel impairing toxin</t>
  </si>
  <si>
    <t>Calcium channel impairing toxin;Disulfide bond;Ion channel impairing toxin;Knottin;Neurotoxin;Presynaptic neurotoxin;Secreted;Signal;Toxin;Voltage-gated calcium channel impairing toxin</t>
  </si>
  <si>
    <t>3D-structure;Amidation;Calcium channel impairing toxin;Disulfide bond;Ion channel impairing toxin;Knottin;Neurotoxin;Secreted;Signal;Toxin;Voltage-gated calcium channel impairing toxin</t>
  </si>
  <si>
    <t>Calcium channel impairing toxin;Disulfide bond;Ion channel impairing toxin;Knottin;Neurotoxin;Secreted;Signal;Toxin;Voltage-gated calcium channel impairing toxin</t>
  </si>
  <si>
    <t>Amidation;Disulfide bond;Gamma-carboxyglutamic acid;Glycoprotein;Hydroxylation;Ion channel impairing toxin;Neurotoxin;Secreted;Toxin</t>
  </si>
  <si>
    <t>Amidation;D-amino acid;Disulfide bond;Hydroxylation;Ion channel impairing toxin;Neurotoxin;Secreted;Signal;Toxin</t>
  </si>
  <si>
    <t>Amidation;Disulfide bond;Ion channel impairing toxin;Neurotoxin;Potassium channel impairing toxin;Protease inhibitor;Secreted;Serine protease inhibitor;Signal;Toxin;Voltage-gated potassium channel impairing toxin</t>
  </si>
  <si>
    <t>Amidation;Calcium channel impairing toxin;Disulfide bond;Hydroxylation;Ion channel impairing toxin;Neurotoxin;Secreted;Signal;Toxin;Voltage-gated calcium channel impairing toxin</t>
  </si>
  <si>
    <t>Amidation;Disulfide bond;Gamma-carboxyglutamic acid;Hydroxylation;Ion channel impairing toxin;Neurotoxin;Secreted;Signal;Toxin;Voltage-gated sodium channel impairing toxin</t>
  </si>
  <si>
    <t>3D-structure;Amidation;Calcium;Gamma-carboxyglutamic acid;Hydroxylation;Ion channel impairing toxin;Ionotropic glutamate receptor inhibitor;Magnesium;Metal-binding;Neurotoxin;Postsynaptic neurotoxin;Secreted;Signal;Toxin</t>
  </si>
  <si>
    <t>Calcium channel impairing toxin;Cleavage on pair of basic residues;Direct protein sequencing;Disulfide bond;Ion channel impairing toxin;Neurotoxin;Secreted;Toxin;Voltage-gated calcium channel impairing toxin</t>
  </si>
  <si>
    <t>3D-structure;Direct protein sequencing;Disulfide bond;Gamma-carboxyglutamic acid;Hydroxylation;Ion channel impairing toxin;Knottin;Neurotoxin;Secreted;Toxin;Voltage-gated sodium channel impairing toxin</t>
  </si>
  <si>
    <t>3D-structure;Amidation;Calcium;Direct protein sequencing;Gamma-carboxyglutamic acid;Ion channel impairing toxin;Ionotropic glutamate receptor inhibitor;Magnesium;Metal-binding;Neurotoxin;Pharmaceutical;Postsynaptic neurotoxin;Secreted;Toxin</t>
  </si>
  <si>
    <t>Amidation;Direct protein sequencing;Disulfide bond;Ion channel impairing toxin;Knottin;Neurotoxin;Secreted;Signal;Toxin;Voltage-gated sodium channel impairing toxin</t>
  </si>
  <si>
    <t>Calcium;Calcium channel;Calcium transport;Disulfide bond;Glycoprotein;Ion channel;Ion transport;Membrane;Metal-binding;Phosphoprotein;Repeat;Transmembrane;Transmembrane helix;Transport;Voltage-gated channel</t>
  </si>
  <si>
    <t>Direct protein sequencing;Disulfide bond;Ion channel impairing toxin;Knottin;Neurotoxin;Secreted;Toxin;Voltage-gated sodium channel impairing toxin</t>
  </si>
  <si>
    <t>3D-structure;Alternative splicing;Calcium;Calcium channel;Calcium transport;Cell membrane;Disulfide bond;Glycoprotein;Ion channel;Ion transport;Membrane;Metal-binding;Phosphoprotein;Reference proteome;Repeat;Transmembrane;Transmembrane helix;Transport;Voltage-gated channel</t>
  </si>
  <si>
    <t>3D-structure;Amidation;Calcium channel impairing toxin;Direct protein sequencing;Disulfide bond;Ion channel impairing toxin;Knottin;Neurotoxin;Presynaptic neurotoxin;Secreted;Signal;Toxin;Voltage-gated calcium channel impairing toxin</t>
  </si>
  <si>
    <t>Alternative splicing;Calcium;Calcium channel;Calcium transport;Cell membrane;Disulfide bond;Glycoprotein;Ion channel;Ion transport;Membrane;Metal-binding;Phosphoprotein;Reference proteome;Repeat;Transmembrane;Transmembrane helix;Transport;Voltage-gated channel</t>
  </si>
  <si>
    <t>3D-structure;Direct protein sequencing;Disulfide bond;Hydroxylation;Ion channel impairing toxin;Knottin;Neurotoxin;Pharmaceutical;Potassium channel impairing toxin;Secreted;Signal;Toxin;Voltage-gated potassium channel impairing toxin</t>
  </si>
  <si>
    <t>3D-structure;Calcium channel impairing toxin;Cleavage on pair of basic residues;Direct protein sequencing;Disulfide bond;Ion channel impairing toxin;Knottin;Neurotoxin;Presynaptic neurotoxin;Secreted;Signal;Toxin;Voltage-gated calcium channel impairing toxin</t>
  </si>
  <si>
    <t>Amidation;Cleavage on pair of basic residues;Direct protein sequencing;Disulfide bond;Hydroxylation;Ion channel impairing toxin;Knottin;Neurotoxin;Secreted;Signal;Toxin;Voltage-gated sodium channel impairing toxin</t>
  </si>
  <si>
    <t>Amidation;Calcium channel impairing toxin;Direct protein sequencing;Disulfide bond;Hydroxylation;Ion channel impairing toxin;Knottin;Neurotoxin;Oxidation;Presynaptic neurotoxin;Secreted;Toxin;Voltage-gated calcium channel impairing toxin</t>
  </si>
  <si>
    <t>Amidation;Calcium channel impairing toxin;Direct protein sequencing;Disulfide bond;Ion channel impairing toxin;Knottin;Neurotoxin;Pharmaceutical;Presynaptic neurotoxin;Secreted;Signal;Toxin;Voltage-gated calcium channel impairing toxin</t>
  </si>
  <si>
    <t>3D-structure;Direct protein sequencing;Disulfide bond;Hydroxylation;Ion channel impairing toxin;Knottin;Neurotoxin;Secreted;Toxin;Voltage-gated sodium channel impairing toxin</t>
  </si>
  <si>
    <t>3D-structure;Amidation;Cleavage on pair of basic residues;Disulfide bond;Hydroxylation;Ion channel impairing toxin;Neurotoxin;Pyrrolidone carboxylic acid;Secreted;Signal;Toxin;Voltage-gated sodium channel impairing toxin</t>
  </si>
  <si>
    <t>Cleavage on pair of basic residues;Direct protein sequencing;Disulfide bond;Ion channel impairing toxin;Neurotoxin;Secreted;Signal;Toxin;Voltage-gated sodium channel impairing toxin</t>
  </si>
  <si>
    <t>3D-structure;Amidation;Direct protein sequencing;Disulfide bond;Ion channel impairing toxin;Knottin;Neurotoxin;Secreted;Toxin;Voltage-gated sodium channel impairing toxin</t>
  </si>
  <si>
    <t>3D-structure;Amidation;Cleavage on pair of basic residues;Disulfide bond;Ion channel impairing toxin;Neurotoxin;Pyrrolidone carboxylic acid;Secreted;Toxin;Voltage-gated sodium channel impairing toxin</t>
  </si>
  <si>
    <t>3D-structure;Amidation;Direct protein sequencing;Disulfide bond;Hydroxylation;Ion channel impairing toxin;Knottin;Neurotoxin;Secreted;Toxin;Voltage-gated sodium channel impairing toxin</t>
  </si>
  <si>
    <t>Amidation;Calcium channel impairing toxin;D-amino acid;Direct protein sequencing;Disulfide bond;Gamma-carboxyglutamic acid;Ion channel impairing toxin;Metal-binding;Neurotoxin;Secreted;Signal;Toxin;Voltage-gated calcium channel impairing toxin</t>
  </si>
  <si>
    <t>3D-structure;Calcium channel impairing toxin;Direct protein sequencing;Disulfide bond;Ion channel impairing toxin;Knottin;Neurotoxin;Secreted;Signal;Toxin;Voltage-gated calcium channel impairing toxin</t>
  </si>
  <si>
    <t>Amidation;Cleavage on pair of basic residues;Disulfide bond;Ion channel impairing toxin;Neurotoxin;Potassium channel impairing toxin;Secreted;Signal;Toxin;Voltage-gated potassium channel impairing toxin</t>
  </si>
  <si>
    <t>Cleavage on pair of basic residues;Disulfide bond;Hydroxylation;Ion channel impairing toxin;Knottin;Neurotoxin;Presynaptic neurotoxin;Secreted;Signal;Toxin;Voltage-gated sodium channel impairing toxin</t>
  </si>
  <si>
    <t>Cleavage on pair of basic residues;Disulfide bond;Ion channel impairing toxin;Knottin;Neurotoxin;Presynaptic neurotoxin;Secreted;Signal;Toxin;Voltage-gated sodium channel impairing toxin</t>
  </si>
  <si>
    <t>Amidation;Cleavage on pair of basic residues;Disulfide bond;Hydroxylation;Ion channel impairing toxin;Knottin;Neurotoxin;Presynaptic neurotoxin;Secreted;Signal;Toxin;Voltage-gated sodium channel impairing toxin</t>
  </si>
  <si>
    <t>Amidation;Cleavage on pair of basic residues;Disulfide bond;Hydroxylation;Ion channel impairing toxin;Neurotoxin;Potassium channel impairing toxin;Secreted;Signal;Toxin;Voltage-gated potassium channel impairing toxin</t>
  </si>
  <si>
    <t>3D-structure;Bromination;Calcium channel impairing toxin;Direct protein sequencing;Disulfide bond;Gamma-carboxyglutamic acid;Glycoprotein;Hydroxylation;Ion channel impairing toxin;Neurotoxin;Presynaptic neurotoxin;Secreted;Signal;Toxin</t>
  </si>
  <si>
    <t>Amidation;Calcium channel impairing toxin;Direct protein sequencing;Disulfide bond;Ion channel impairing toxin;Knottin;Neurotoxin;Secreted;Signal;Toxin;Voltage-gated calcium channel impairing toxin</t>
  </si>
  <si>
    <t>3D-structure;Amidation;Calcium-activated potassium channel impairing toxin;D-amino acid;Direct protein sequencing;Disulfide bond;Ion channel impairing toxin;Neurotoxin;Potassium channel impairing toxin;Secreted;Toxin;Voltage-gated potassium channel impairing toxin</t>
  </si>
  <si>
    <t>Amidation;Direct protein sequencing;Ion channel impairing toxin;Neurotoxin;Potassium channel impairing toxin;Secreted;Toxin</t>
  </si>
  <si>
    <t>3D-structure;ATP-binding;Calcium;Calcium channel;Calcium transport;Disulfide bond;Glycoprotein;Ion channel;Ion transport;Membrane;Metal-binding;Methylation;Nucleotide-binding;Phosphoprotein;Reference proteome;Repeat;Transmembrane;Transmembrane helix;Transport;Voltage-gated channel</t>
  </si>
  <si>
    <t>3D-structure;Calcium;Calcium channel;Calcium transport;Disulfide bond;Glycoprotein;Ion channel;Ion transport;Membrane;Metal-binding;Phosphoprotein;Reference proteome;Repeat;Transmembrane;Transmembrane helix;Transport;Voltage-gated channel</t>
  </si>
  <si>
    <t>Acetylcholine receptor inhibiting toxin;Amidation;Disulfide bond;Ion channel impairing toxin;Neurotoxin;Postsynaptic neurotoxin;Potassium channel impairing toxin;Secreted;Signal;Toxin;Voltage-gated potassium channel impairing toxin</t>
  </si>
  <si>
    <t>3D-structure;Acetylcholine receptor inhibiting toxin;Amidation;Direct protein sequencing;Disulfide bond;Ion channel impairing toxin;Neurotoxin;Postsynaptic neurotoxin;Potassium channel impairing toxin;Secreted;Signal;Toxin;Voltage-gated potassium channel impairing toxin</t>
  </si>
  <si>
    <t>3D-structure;Acetylcholine receptor inhibiting toxin;Amidation;Calcium channel impairing toxin;Disulfide bond;Ion channel impairing toxin;Neurotoxin;Postsynaptic neurotoxin;Secreted;Toxin</t>
  </si>
  <si>
    <t>3D-structure;Cleavage on pair of basic residues;Direct protein sequencing;Disulfide bond;Ion channel impairing toxin;Knottin;Neurotoxin;Secreted;Signal;Toxin;Voltage-gated sodium channel impairing toxin</t>
  </si>
  <si>
    <t>Cleavage on pair of basic residues;Disulfide bond;Ion channel impairing toxin;Neurotoxin;Secreted;Signal;Toxin;Voltage-gated sodium channel impairing toxin</t>
  </si>
  <si>
    <t>D-amino acid;Disulfide bond;Hydroxylation;Ion channel impairing toxin;Neurotoxin;Secreted;Toxin;Voltage-gated sodium channel impairing toxin</t>
  </si>
  <si>
    <t>Cleavage on pair of basic residues;D-amino acid;Direct protein sequencing;Disulfide bond;Hydroxylation;Ion channel impairing toxin;Neurotoxin;Secreted;Signal;Toxin;Voltage-gated sodium channel impairing toxin</t>
  </si>
  <si>
    <t>Amidation;Cleavage on pair of basic residues;Direct protein sequencing;Disulfide bond;Ion channel impairing toxin;Neurotoxin;Pyrrolidone carboxylic acid;Secreted;Signal;Toxin;Voltage-gated sodium channel impairing toxin</t>
  </si>
  <si>
    <t>Cleavage on pair of basic residues;Direct protein sequencing;Disulfide bond;Ion channel impairing toxin;Neurotoxin;Secreted;Toxin;Voltage-gated sodium channel impairing toxin</t>
  </si>
  <si>
    <t>Calcium;Calcium channel;Calcium transport;Disulfide bond;Glycoprotein;Ion channel;Ion transport;Membrane;Metal-binding;Reference proteome;Repeat;Sensory transduction;Transmembrane;Transmembrane helix;Transport;Vision;Voltage-gated channel</t>
  </si>
  <si>
    <t>Direct protein sequencing;Disulfide bond;Ion channel impairing toxin;Knottin;Neurotoxin;Secreted;Signal;Toxin;Voltage-gated sodium channel impairing toxin</t>
  </si>
  <si>
    <t>3D-structure;Amidation;Calcium channel impairing toxin;Disulfide bond;Ion channel impairing toxin;Knottin;Neurotoxin;Presynaptic neurotoxin;Secreted;Signal;Toxin;Voltage-gated calcium channel impairing toxin</t>
  </si>
  <si>
    <t>Bromination;Calcium channel impairing toxin;Disulfide bond;Hydroxylation;Ion channel impairing toxin;Knottin;Neurotoxin;Presynaptic neurotoxin;Secreted;Signal;Toxin;Voltage-gated calcium channel impairing toxin</t>
  </si>
  <si>
    <t>match</t>
  </si>
  <si>
    <t>Zhang result</t>
  </si>
  <si>
    <t>K</t>
  </si>
  <si>
    <t>Na</t>
  </si>
  <si>
    <t>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</si>
</sst>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2">
    <dxf>
      <fill>
        <patternFill>
          <bgColor rgb="FFFFC7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6"/>
  <sheetViews>
    <sheetView tabSelected="1" workbookViewId="0">
      <selection activeCell="R8" sqref="R8"/>
    </sheetView>
  </sheetViews>
  <sheetFormatPr baseColWidth="10" defaultColWidth="8.83203125" defaultRowHeight="15" x14ac:dyDescent="0.2"/>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1124</v>
      </c>
      <c r="Q1" t="s">
        <v>1228</v>
      </c>
      <c r="R1" t="s">
        <v>1229</v>
      </c>
    </row>
    <row r="2" spans="1:18" x14ac:dyDescent="0.2">
      <c r="A2" t="s">
        <v>577</v>
      </c>
      <c r="B2" t="s">
        <v>577</v>
      </c>
      <c r="C2" t="s">
        <v>16</v>
      </c>
      <c r="D2" t="s">
        <v>578</v>
      </c>
      <c r="E2" t="s">
        <v>127</v>
      </c>
      <c r="F2" t="s">
        <v>579</v>
      </c>
      <c r="G2" t="s">
        <v>580</v>
      </c>
      <c r="H2" t="s">
        <v>21</v>
      </c>
      <c r="I2" t="s">
        <v>22</v>
      </c>
      <c r="J2" t="s">
        <v>21</v>
      </c>
      <c r="K2" t="s">
        <v>581</v>
      </c>
      <c r="L2" t="s">
        <v>582</v>
      </c>
      <c r="M2" t="s">
        <v>576</v>
      </c>
      <c r="N2" t="s">
        <v>21</v>
      </c>
      <c r="O2" t="s">
        <v>583</v>
      </c>
      <c r="P2" t="s">
        <v>1125</v>
      </c>
      <c r="Q2" t="str">
        <f>IF(ISNUMBER(SEARCH("Calcium channel impairing toxin", P2)), "Ca", IF(ISNUMBER(SEARCH("Potassium channel impairing toxin",P2)), "K", IF(ISNUMBER(SEARCH("Proton-gated sodium channel impairing toxin", P2)), "Na", IF(ISNUMBER(SEARCH("Voltage-gated sodium channel impairing toxin", P2)), "Na", "Other"))))</f>
        <v>Other</v>
      </c>
      <c r="R2" s="1" t="s">
        <v>1230</v>
      </c>
    </row>
    <row r="3" spans="1:18" x14ac:dyDescent="0.2">
      <c r="A3" t="s">
        <v>1055</v>
      </c>
      <c r="B3" t="s">
        <v>1055</v>
      </c>
      <c r="C3" t="s">
        <v>21</v>
      </c>
      <c r="D3" t="s">
        <v>1056</v>
      </c>
      <c r="E3" t="s">
        <v>153</v>
      </c>
      <c r="F3" t="s">
        <v>1057</v>
      </c>
      <c r="G3" t="s">
        <v>1058</v>
      </c>
      <c r="H3" t="s">
        <v>21</v>
      </c>
      <c r="I3" t="s">
        <v>22</v>
      </c>
      <c r="J3" t="s">
        <v>378</v>
      </c>
      <c r="K3" t="s">
        <v>1059</v>
      </c>
      <c r="L3" t="s">
        <v>1060</v>
      </c>
      <c r="M3" t="s">
        <v>21</v>
      </c>
      <c r="N3" t="s">
        <v>1061</v>
      </c>
      <c r="O3" t="s">
        <v>1062</v>
      </c>
      <c r="P3" t="s">
        <v>1126</v>
      </c>
      <c r="Q3" t="str">
        <f t="shared" ref="Q3:Q66" si="0">IF(ISNUMBER(SEARCH("Calcium channel impairing toxin", P3)), "Ca", IF(ISNUMBER(SEARCH("Potassium channel impairing toxin",P3)), "K", IF(ISNUMBER(SEARCH("Proton-gated sodium channel impairing toxin", P3)), "Na", IF(ISNUMBER(SEARCH("Voltage-gated sodium channel impairing toxin", P3)), "Na", "Other"))))</f>
        <v>Na</v>
      </c>
      <c r="R3" s="1" t="s">
        <v>1231</v>
      </c>
    </row>
    <row r="4" spans="1:18" x14ac:dyDescent="0.2">
      <c r="A4" t="s">
        <v>756</v>
      </c>
      <c r="B4" t="s">
        <v>756</v>
      </c>
      <c r="C4" t="s">
        <v>21</v>
      </c>
      <c r="D4" t="s">
        <v>757</v>
      </c>
      <c r="E4" t="s">
        <v>664</v>
      </c>
      <c r="F4" t="s">
        <v>758</v>
      </c>
      <c r="G4" t="s">
        <v>759</v>
      </c>
      <c r="H4" t="s">
        <v>21</v>
      </c>
      <c r="I4" t="s">
        <v>22</v>
      </c>
      <c r="J4" t="s">
        <v>565</v>
      </c>
      <c r="K4" t="s">
        <v>760</v>
      </c>
      <c r="L4" t="s">
        <v>761</v>
      </c>
      <c r="M4" t="s">
        <v>21</v>
      </c>
      <c r="N4" t="s">
        <v>21</v>
      </c>
      <c r="O4" t="s">
        <v>755</v>
      </c>
      <c r="P4" t="s">
        <v>1127</v>
      </c>
      <c r="Q4" t="str">
        <f t="shared" si="0"/>
        <v>K</v>
      </c>
      <c r="R4" s="1" t="s">
        <v>1230</v>
      </c>
    </row>
    <row r="5" spans="1:18" x14ac:dyDescent="0.2">
      <c r="A5" t="s">
        <v>749</v>
      </c>
      <c r="B5" t="s">
        <v>749</v>
      </c>
      <c r="C5" t="s">
        <v>21</v>
      </c>
      <c r="D5" t="s">
        <v>750</v>
      </c>
      <c r="E5" t="s">
        <v>654</v>
      </c>
      <c r="F5" t="s">
        <v>751</v>
      </c>
      <c r="G5" t="s">
        <v>752</v>
      </c>
      <c r="H5" t="s">
        <v>21</v>
      </c>
      <c r="I5" t="s">
        <v>22</v>
      </c>
      <c r="J5" t="s">
        <v>565</v>
      </c>
      <c r="K5" t="s">
        <v>753</v>
      </c>
      <c r="L5" t="s">
        <v>754</v>
      </c>
      <c r="M5" t="s">
        <v>21</v>
      </c>
      <c r="N5" t="s">
        <v>21</v>
      </c>
      <c r="O5" t="s">
        <v>755</v>
      </c>
      <c r="P5" t="s">
        <v>1128</v>
      </c>
      <c r="Q5" t="str">
        <f t="shared" si="0"/>
        <v>K</v>
      </c>
      <c r="R5" s="1" t="s">
        <v>1230</v>
      </c>
    </row>
    <row r="6" spans="1:18" x14ac:dyDescent="0.2">
      <c r="A6" t="s">
        <v>836</v>
      </c>
      <c r="B6" t="s">
        <v>836</v>
      </c>
      <c r="C6" t="s">
        <v>21</v>
      </c>
      <c r="D6" t="s">
        <v>837</v>
      </c>
      <c r="E6" t="s">
        <v>264</v>
      </c>
      <c r="F6" t="s">
        <v>838</v>
      </c>
      <c r="G6" t="s">
        <v>839</v>
      </c>
      <c r="H6" t="s">
        <v>21</v>
      </c>
      <c r="I6" t="s">
        <v>22</v>
      </c>
      <c r="J6" t="s">
        <v>33</v>
      </c>
      <c r="K6" t="s">
        <v>840</v>
      </c>
      <c r="L6" t="s">
        <v>841</v>
      </c>
      <c r="M6" t="s">
        <v>21</v>
      </c>
      <c r="N6" t="s">
        <v>842</v>
      </c>
      <c r="O6" t="s">
        <v>843</v>
      </c>
      <c r="P6" t="s">
        <v>1129</v>
      </c>
      <c r="Q6" t="str">
        <f t="shared" si="0"/>
        <v>Na</v>
      </c>
      <c r="R6" s="1" t="s">
        <v>1231</v>
      </c>
    </row>
    <row r="7" spans="1:18" x14ac:dyDescent="0.2">
      <c r="A7" t="s">
        <v>902</v>
      </c>
      <c r="B7" t="s">
        <v>902</v>
      </c>
      <c r="C7" t="s">
        <v>21</v>
      </c>
      <c r="D7" t="s">
        <v>903</v>
      </c>
      <c r="E7" t="s">
        <v>264</v>
      </c>
      <c r="F7" t="s">
        <v>904</v>
      </c>
      <c r="G7" t="s">
        <v>905</v>
      </c>
      <c r="H7" t="s">
        <v>21</v>
      </c>
      <c r="I7" t="s">
        <v>22</v>
      </c>
      <c r="J7" t="s">
        <v>33</v>
      </c>
      <c r="K7" t="s">
        <v>906</v>
      </c>
      <c r="L7" t="s">
        <v>907</v>
      </c>
      <c r="M7" t="s">
        <v>21</v>
      </c>
      <c r="N7" t="s">
        <v>908</v>
      </c>
      <c r="O7" t="s">
        <v>909</v>
      </c>
      <c r="P7" t="s">
        <v>1130</v>
      </c>
      <c r="Q7" t="str">
        <f t="shared" si="0"/>
        <v>Na</v>
      </c>
      <c r="R7" s="1" t="s">
        <v>1231</v>
      </c>
    </row>
    <row r="8" spans="1:18" x14ac:dyDescent="0.2">
      <c r="A8" t="s">
        <v>937</v>
      </c>
      <c r="B8" t="s">
        <v>937</v>
      </c>
      <c r="C8" t="s">
        <v>21</v>
      </c>
      <c r="D8" t="s">
        <v>938</v>
      </c>
      <c r="E8" t="s">
        <v>264</v>
      </c>
      <c r="F8" t="s">
        <v>939</v>
      </c>
      <c r="G8" t="s">
        <v>940</v>
      </c>
      <c r="H8" t="s">
        <v>21</v>
      </c>
      <c r="I8" t="s">
        <v>22</v>
      </c>
      <c r="J8" t="s">
        <v>33</v>
      </c>
      <c r="K8" t="s">
        <v>941</v>
      </c>
      <c r="L8" t="s">
        <v>942</v>
      </c>
      <c r="M8" t="s">
        <v>21</v>
      </c>
      <c r="N8" t="s">
        <v>943</v>
      </c>
      <c r="O8" t="s">
        <v>944</v>
      </c>
      <c r="P8" t="s">
        <v>1130</v>
      </c>
      <c r="Q8" t="str">
        <f t="shared" si="0"/>
        <v>Na</v>
      </c>
      <c r="R8" s="1" t="s">
        <v>1231</v>
      </c>
    </row>
    <row r="9" spans="1:18" x14ac:dyDescent="0.2">
      <c r="A9" t="s">
        <v>643</v>
      </c>
      <c r="B9" t="s">
        <v>643</v>
      </c>
      <c r="C9" t="s">
        <v>21</v>
      </c>
      <c r="D9" t="s">
        <v>644</v>
      </c>
      <c r="E9" t="s">
        <v>64</v>
      </c>
      <c r="F9" t="s">
        <v>645</v>
      </c>
      <c r="G9" t="s">
        <v>646</v>
      </c>
      <c r="H9" t="s">
        <v>21</v>
      </c>
      <c r="I9" t="s">
        <v>22</v>
      </c>
      <c r="J9" t="s">
        <v>647</v>
      </c>
      <c r="K9" t="s">
        <v>648</v>
      </c>
      <c r="L9" t="s">
        <v>649</v>
      </c>
      <c r="M9" t="s">
        <v>21</v>
      </c>
      <c r="N9" t="s">
        <v>650</v>
      </c>
      <c r="O9" t="s">
        <v>651</v>
      </c>
      <c r="P9" t="s">
        <v>1131</v>
      </c>
      <c r="Q9" t="str">
        <f t="shared" si="0"/>
        <v>K</v>
      </c>
      <c r="R9" s="1" t="s">
        <v>1230</v>
      </c>
    </row>
    <row r="10" spans="1:18" x14ac:dyDescent="0.2">
      <c r="A10" t="s">
        <v>398</v>
      </c>
      <c r="B10" t="s">
        <v>398</v>
      </c>
      <c r="C10" t="s">
        <v>21</v>
      </c>
      <c r="D10" t="s">
        <v>399</v>
      </c>
      <c r="E10" t="s">
        <v>400</v>
      </c>
      <c r="F10" t="s">
        <v>401</v>
      </c>
      <c r="G10" t="s">
        <v>402</v>
      </c>
      <c r="H10" t="s">
        <v>403</v>
      </c>
      <c r="I10" t="s">
        <v>404</v>
      </c>
      <c r="J10" t="s">
        <v>21</v>
      </c>
      <c r="K10" t="s">
        <v>21</v>
      </c>
      <c r="L10" t="s">
        <v>21</v>
      </c>
      <c r="M10" t="s">
        <v>21</v>
      </c>
      <c r="N10" t="s">
        <v>21</v>
      </c>
      <c r="O10" t="s">
        <v>405</v>
      </c>
      <c r="P10" t="s">
        <v>1132</v>
      </c>
      <c r="Q10" t="str">
        <f t="shared" si="0"/>
        <v>Other</v>
      </c>
      <c r="R10" s="1" t="s">
        <v>1232</v>
      </c>
    </row>
    <row r="11" spans="1:18" x14ac:dyDescent="0.2">
      <c r="A11" t="s">
        <v>425</v>
      </c>
      <c r="B11" t="s">
        <v>425</v>
      </c>
      <c r="C11" t="s">
        <v>21</v>
      </c>
      <c r="D11" t="s">
        <v>426</v>
      </c>
      <c r="E11" t="s">
        <v>427</v>
      </c>
      <c r="F11" t="s">
        <v>428</v>
      </c>
      <c r="G11" t="s">
        <v>429</v>
      </c>
      <c r="H11" t="s">
        <v>430</v>
      </c>
      <c r="I11" t="s">
        <v>431</v>
      </c>
      <c r="J11" t="s">
        <v>21</v>
      </c>
      <c r="K11" t="s">
        <v>21</v>
      </c>
      <c r="L11" t="s">
        <v>21</v>
      </c>
      <c r="M11" t="s">
        <v>432</v>
      </c>
      <c r="N11" t="s">
        <v>433</v>
      </c>
      <c r="O11" t="s">
        <v>434</v>
      </c>
      <c r="P11" t="s">
        <v>1133</v>
      </c>
      <c r="Q11" t="str">
        <f t="shared" si="0"/>
        <v>Other</v>
      </c>
      <c r="R11" s="1" t="s">
        <v>1232</v>
      </c>
    </row>
    <row r="12" spans="1:18" x14ac:dyDescent="0.2">
      <c r="A12" t="s">
        <v>452</v>
      </c>
      <c r="B12" t="s">
        <v>452</v>
      </c>
      <c r="C12" t="s">
        <v>16</v>
      </c>
      <c r="D12" t="s">
        <v>453</v>
      </c>
      <c r="E12" t="s">
        <v>454</v>
      </c>
      <c r="F12" t="s">
        <v>455</v>
      </c>
      <c r="G12" t="s">
        <v>456</v>
      </c>
      <c r="H12" t="s">
        <v>21</v>
      </c>
      <c r="I12" t="s">
        <v>22</v>
      </c>
      <c r="J12" t="s">
        <v>21</v>
      </c>
      <c r="K12" t="s">
        <v>21</v>
      </c>
      <c r="L12" t="s">
        <v>21</v>
      </c>
      <c r="M12" t="s">
        <v>457</v>
      </c>
      <c r="N12" t="s">
        <v>458</v>
      </c>
      <c r="O12" t="s">
        <v>21</v>
      </c>
      <c r="P12" t="s">
        <v>1134</v>
      </c>
      <c r="Q12" t="str">
        <f t="shared" si="0"/>
        <v>Other</v>
      </c>
      <c r="R12" s="1" t="s">
        <v>1232</v>
      </c>
    </row>
    <row r="13" spans="1:18" x14ac:dyDescent="0.2">
      <c r="A13" t="s">
        <v>435</v>
      </c>
      <c r="B13" t="s">
        <v>435</v>
      </c>
      <c r="C13" t="s">
        <v>21</v>
      </c>
      <c r="D13" t="s">
        <v>436</v>
      </c>
      <c r="E13" t="s">
        <v>437</v>
      </c>
      <c r="F13" t="s">
        <v>421</v>
      </c>
      <c r="G13" t="s">
        <v>438</v>
      </c>
      <c r="H13" t="s">
        <v>439</v>
      </c>
      <c r="I13" t="s">
        <v>440</v>
      </c>
      <c r="J13" t="s">
        <v>21</v>
      </c>
      <c r="K13" t="s">
        <v>21</v>
      </c>
      <c r="L13" t="s">
        <v>21</v>
      </c>
      <c r="M13" t="s">
        <v>423</v>
      </c>
      <c r="N13" t="s">
        <v>21</v>
      </c>
      <c r="O13" t="s">
        <v>441</v>
      </c>
      <c r="P13" t="s">
        <v>1135</v>
      </c>
      <c r="Q13" t="str">
        <f t="shared" si="0"/>
        <v>Other</v>
      </c>
      <c r="R13" s="1" t="s">
        <v>1232</v>
      </c>
    </row>
    <row r="14" spans="1:18" x14ac:dyDescent="0.2">
      <c r="A14" t="s">
        <v>167</v>
      </c>
      <c r="B14" t="s">
        <v>167</v>
      </c>
      <c r="C14" t="s">
        <v>21</v>
      </c>
      <c r="D14" t="s">
        <v>168</v>
      </c>
      <c r="E14" t="s">
        <v>169</v>
      </c>
      <c r="F14" t="s">
        <v>170</v>
      </c>
      <c r="G14" t="s">
        <v>171</v>
      </c>
      <c r="H14" t="s">
        <v>21</v>
      </c>
      <c r="I14" t="s">
        <v>22</v>
      </c>
      <c r="J14" t="s">
        <v>33</v>
      </c>
      <c r="K14" t="s">
        <v>172</v>
      </c>
      <c r="L14" t="s">
        <v>173</v>
      </c>
      <c r="M14" t="s">
        <v>21</v>
      </c>
      <c r="N14" t="s">
        <v>174</v>
      </c>
      <c r="O14" t="s">
        <v>175</v>
      </c>
      <c r="P14" t="s">
        <v>1136</v>
      </c>
      <c r="Q14" t="str">
        <f t="shared" si="0"/>
        <v>Ca</v>
      </c>
      <c r="R14" s="1" t="s">
        <v>1232</v>
      </c>
    </row>
    <row r="15" spans="1:18" x14ac:dyDescent="0.2">
      <c r="A15" t="s">
        <v>857</v>
      </c>
      <c r="B15" t="s">
        <v>857</v>
      </c>
      <c r="C15" t="s">
        <v>21</v>
      </c>
      <c r="D15" t="s">
        <v>858</v>
      </c>
      <c r="E15" t="s">
        <v>169</v>
      </c>
      <c r="F15" t="s">
        <v>859</v>
      </c>
      <c r="G15" t="s">
        <v>860</v>
      </c>
      <c r="H15" t="s">
        <v>21</v>
      </c>
      <c r="I15" t="s">
        <v>22</v>
      </c>
      <c r="J15" t="s">
        <v>565</v>
      </c>
      <c r="K15" t="s">
        <v>861</v>
      </c>
      <c r="L15" t="s">
        <v>862</v>
      </c>
      <c r="M15" t="s">
        <v>863</v>
      </c>
      <c r="N15" t="s">
        <v>864</v>
      </c>
      <c r="O15" t="s">
        <v>865</v>
      </c>
      <c r="P15" t="s">
        <v>1137</v>
      </c>
      <c r="Q15" t="str">
        <f t="shared" si="0"/>
        <v>Na</v>
      </c>
      <c r="R15" s="1" t="s">
        <v>1231</v>
      </c>
    </row>
    <row r="16" spans="1:18" x14ac:dyDescent="0.2">
      <c r="A16" t="s">
        <v>916</v>
      </c>
      <c r="B16" t="s">
        <v>916</v>
      </c>
      <c r="C16" t="s">
        <v>21</v>
      </c>
      <c r="D16" t="s">
        <v>917</v>
      </c>
      <c r="E16" t="s">
        <v>169</v>
      </c>
      <c r="F16" t="s">
        <v>918</v>
      </c>
      <c r="G16" t="s">
        <v>919</v>
      </c>
      <c r="H16" t="s">
        <v>21</v>
      </c>
      <c r="I16" t="s">
        <v>22</v>
      </c>
      <c r="J16" t="s">
        <v>21</v>
      </c>
      <c r="K16" t="s">
        <v>21</v>
      </c>
      <c r="L16" t="s">
        <v>920</v>
      </c>
      <c r="M16" t="s">
        <v>21</v>
      </c>
      <c r="N16" t="s">
        <v>921</v>
      </c>
      <c r="O16" t="s">
        <v>922</v>
      </c>
      <c r="P16" t="s">
        <v>1138</v>
      </c>
      <c r="Q16" t="str">
        <f t="shared" si="0"/>
        <v>Na</v>
      </c>
      <c r="R16" s="1" t="s">
        <v>1231</v>
      </c>
    </row>
    <row r="17" spans="1:18" x14ac:dyDescent="0.2">
      <c r="A17" t="s">
        <v>279</v>
      </c>
      <c r="B17" t="s">
        <v>279</v>
      </c>
      <c r="C17" t="s">
        <v>21</v>
      </c>
      <c r="D17" t="s">
        <v>280</v>
      </c>
      <c r="E17" t="s">
        <v>169</v>
      </c>
      <c r="F17" t="s">
        <v>281</v>
      </c>
      <c r="G17" t="s">
        <v>282</v>
      </c>
      <c r="H17" t="s">
        <v>21</v>
      </c>
      <c r="I17" t="s">
        <v>22</v>
      </c>
      <c r="J17" t="s">
        <v>21</v>
      </c>
      <c r="K17" t="s">
        <v>21</v>
      </c>
      <c r="L17" t="s">
        <v>283</v>
      </c>
      <c r="M17" t="s">
        <v>21</v>
      </c>
      <c r="N17" t="s">
        <v>248</v>
      </c>
      <c r="O17" t="s">
        <v>284</v>
      </c>
      <c r="P17" t="s">
        <v>1139</v>
      </c>
      <c r="Q17" t="str">
        <f t="shared" si="0"/>
        <v>Ca</v>
      </c>
      <c r="R17" s="1" t="s">
        <v>1232</v>
      </c>
    </row>
    <row r="18" spans="1:18" x14ac:dyDescent="0.2">
      <c r="A18" t="s">
        <v>207</v>
      </c>
      <c r="B18" t="s">
        <v>207</v>
      </c>
      <c r="C18" t="s">
        <v>21</v>
      </c>
      <c r="D18" t="s">
        <v>208</v>
      </c>
      <c r="E18" t="s">
        <v>209</v>
      </c>
      <c r="F18" t="s">
        <v>210</v>
      </c>
      <c r="G18" t="s">
        <v>211</v>
      </c>
      <c r="H18" t="s">
        <v>212</v>
      </c>
      <c r="I18" t="s">
        <v>22</v>
      </c>
      <c r="J18" t="s">
        <v>33</v>
      </c>
      <c r="K18" t="s">
        <v>213</v>
      </c>
      <c r="L18" t="s">
        <v>214</v>
      </c>
      <c r="M18" t="s">
        <v>21</v>
      </c>
      <c r="N18" t="s">
        <v>215</v>
      </c>
      <c r="O18" t="s">
        <v>216</v>
      </c>
      <c r="P18" t="s">
        <v>1140</v>
      </c>
      <c r="Q18" t="str">
        <f t="shared" si="0"/>
        <v>Ca</v>
      </c>
      <c r="R18" s="1" t="s">
        <v>1232</v>
      </c>
    </row>
    <row r="19" spans="1:18" x14ac:dyDescent="0.2">
      <c r="A19" t="s">
        <v>528</v>
      </c>
      <c r="B19" t="s">
        <v>528</v>
      </c>
      <c r="C19" t="s">
        <v>21</v>
      </c>
      <c r="D19" t="s">
        <v>529</v>
      </c>
      <c r="E19" t="s">
        <v>209</v>
      </c>
      <c r="F19" t="s">
        <v>530</v>
      </c>
      <c r="G19" t="s">
        <v>531</v>
      </c>
      <c r="H19" t="s">
        <v>21</v>
      </c>
      <c r="I19" t="s">
        <v>22</v>
      </c>
      <c r="J19" t="s">
        <v>21</v>
      </c>
      <c r="K19" t="s">
        <v>21</v>
      </c>
      <c r="L19" t="s">
        <v>532</v>
      </c>
      <c r="M19" t="s">
        <v>21</v>
      </c>
      <c r="N19" t="s">
        <v>254</v>
      </c>
      <c r="O19" t="s">
        <v>533</v>
      </c>
      <c r="P19" t="s">
        <v>1141</v>
      </c>
      <c r="Q19" t="str">
        <f t="shared" si="0"/>
        <v>Ca</v>
      </c>
      <c r="R19" s="1" t="s">
        <v>1232</v>
      </c>
    </row>
    <row r="20" spans="1:18" x14ac:dyDescent="0.2">
      <c r="A20" t="s">
        <v>466</v>
      </c>
      <c r="B20" t="s">
        <v>466</v>
      </c>
      <c r="C20" t="s">
        <v>21</v>
      </c>
      <c r="D20" t="s">
        <v>467</v>
      </c>
      <c r="E20" t="s">
        <v>408</v>
      </c>
      <c r="F20" t="s">
        <v>468</v>
      </c>
      <c r="G20" t="s">
        <v>469</v>
      </c>
      <c r="H20" t="s">
        <v>470</v>
      </c>
      <c r="I20" t="s">
        <v>22</v>
      </c>
      <c r="J20" t="s">
        <v>21</v>
      </c>
      <c r="K20" t="s">
        <v>21</v>
      </c>
      <c r="L20" t="s">
        <v>21</v>
      </c>
      <c r="M20" t="s">
        <v>471</v>
      </c>
      <c r="N20" t="s">
        <v>472</v>
      </c>
      <c r="O20" t="s">
        <v>473</v>
      </c>
      <c r="P20" t="s">
        <v>1142</v>
      </c>
      <c r="Q20" t="str">
        <f t="shared" si="0"/>
        <v>Other</v>
      </c>
      <c r="R20" s="1" t="s">
        <v>1232</v>
      </c>
    </row>
    <row r="21" spans="1:18" x14ac:dyDescent="0.2">
      <c r="A21" t="s">
        <v>866</v>
      </c>
      <c r="B21" t="s">
        <v>866</v>
      </c>
      <c r="C21" t="s">
        <v>16</v>
      </c>
      <c r="D21" t="s">
        <v>867</v>
      </c>
      <c r="E21" t="s">
        <v>868</v>
      </c>
      <c r="F21" t="s">
        <v>869</v>
      </c>
      <c r="G21" t="s">
        <v>870</v>
      </c>
      <c r="H21" t="s">
        <v>21</v>
      </c>
      <c r="I21" t="s">
        <v>22</v>
      </c>
      <c r="J21" t="s">
        <v>21</v>
      </c>
      <c r="K21" t="s">
        <v>871</v>
      </c>
      <c r="L21" t="s">
        <v>872</v>
      </c>
      <c r="M21" t="s">
        <v>873</v>
      </c>
      <c r="N21" t="s">
        <v>874</v>
      </c>
      <c r="O21" t="s">
        <v>875</v>
      </c>
      <c r="P21" t="s">
        <v>1143</v>
      </c>
      <c r="Q21" t="str">
        <f t="shared" si="0"/>
        <v>Na</v>
      </c>
      <c r="R21" s="1" t="s">
        <v>1231</v>
      </c>
    </row>
    <row r="22" spans="1:18" x14ac:dyDescent="0.2">
      <c r="A22" t="s">
        <v>844</v>
      </c>
      <c r="B22" t="s">
        <v>844</v>
      </c>
      <c r="C22" t="s">
        <v>21</v>
      </c>
      <c r="D22" t="s">
        <v>845</v>
      </c>
      <c r="E22" t="s">
        <v>287</v>
      </c>
      <c r="F22" t="s">
        <v>846</v>
      </c>
      <c r="G22" t="s">
        <v>847</v>
      </c>
      <c r="H22" t="s">
        <v>21</v>
      </c>
      <c r="I22" t="s">
        <v>22</v>
      </c>
      <c r="J22" t="s">
        <v>21</v>
      </c>
      <c r="K22" t="s">
        <v>21</v>
      </c>
      <c r="L22" t="s">
        <v>848</v>
      </c>
      <c r="M22" t="s">
        <v>21</v>
      </c>
      <c r="N22" t="s">
        <v>849</v>
      </c>
      <c r="O22" t="s">
        <v>850</v>
      </c>
      <c r="P22" t="s">
        <v>1144</v>
      </c>
      <c r="Q22" t="str">
        <f t="shared" si="0"/>
        <v>Na</v>
      </c>
      <c r="R22" s="1" t="s">
        <v>1231</v>
      </c>
    </row>
    <row r="23" spans="1:18" x14ac:dyDescent="0.2">
      <c r="A23" t="s">
        <v>910</v>
      </c>
      <c r="B23" t="s">
        <v>910</v>
      </c>
      <c r="C23" t="s">
        <v>21</v>
      </c>
      <c r="D23" t="s">
        <v>911</v>
      </c>
      <c r="E23" t="s">
        <v>287</v>
      </c>
      <c r="F23" t="s">
        <v>912</v>
      </c>
      <c r="G23" t="s">
        <v>913</v>
      </c>
      <c r="H23" t="s">
        <v>21</v>
      </c>
      <c r="I23" t="s">
        <v>22</v>
      </c>
      <c r="J23" t="s">
        <v>21</v>
      </c>
      <c r="K23" t="s">
        <v>21</v>
      </c>
      <c r="L23" t="s">
        <v>914</v>
      </c>
      <c r="M23" t="s">
        <v>21</v>
      </c>
      <c r="N23" t="s">
        <v>849</v>
      </c>
      <c r="O23" t="s">
        <v>915</v>
      </c>
      <c r="P23" t="s">
        <v>1145</v>
      </c>
      <c r="Q23" t="str">
        <f t="shared" si="0"/>
        <v>Na</v>
      </c>
      <c r="R23" s="1" t="s">
        <v>1231</v>
      </c>
    </row>
    <row r="24" spans="1:18" x14ac:dyDescent="0.2">
      <c r="A24" t="s">
        <v>851</v>
      </c>
      <c r="B24" t="s">
        <v>851</v>
      </c>
      <c r="C24" t="s">
        <v>21</v>
      </c>
      <c r="D24" t="s">
        <v>852</v>
      </c>
      <c r="E24" t="s">
        <v>161</v>
      </c>
      <c r="F24" t="s">
        <v>853</v>
      </c>
      <c r="G24" t="s">
        <v>854</v>
      </c>
      <c r="H24" t="s">
        <v>21</v>
      </c>
      <c r="I24" t="s">
        <v>22</v>
      </c>
      <c r="J24" t="s">
        <v>21</v>
      </c>
      <c r="K24" t="s">
        <v>21</v>
      </c>
      <c r="L24" t="s">
        <v>855</v>
      </c>
      <c r="M24" t="s">
        <v>21</v>
      </c>
      <c r="N24" t="s">
        <v>849</v>
      </c>
      <c r="O24" t="s">
        <v>856</v>
      </c>
      <c r="P24" t="s">
        <v>1144</v>
      </c>
      <c r="Q24" t="str">
        <f t="shared" si="0"/>
        <v>Na</v>
      </c>
      <c r="R24" s="1" t="s">
        <v>1231</v>
      </c>
    </row>
    <row r="25" spans="1:18" x14ac:dyDescent="0.2">
      <c r="A25" t="s">
        <v>734</v>
      </c>
      <c r="B25" t="s">
        <v>734</v>
      </c>
      <c r="C25" t="s">
        <v>21</v>
      </c>
      <c r="D25" t="s">
        <v>735</v>
      </c>
      <c r="E25" t="s">
        <v>40</v>
      </c>
      <c r="F25" t="s">
        <v>736</v>
      </c>
      <c r="G25" t="s">
        <v>737</v>
      </c>
      <c r="H25" t="s">
        <v>21</v>
      </c>
      <c r="I25" t="s">
        <v>22</v>
      </c>
      <c r="J25" t="s">
        <v>738</v>
      </c>
      <c r="K25" t="s">
        <v>21</v>
      </c>
      <c r="L25" t="s">
        <v>21</v>
      </c>
      <c r="M25" t="s">
        <v>739</v>
      </c>
      <c r="N25" t="s">
        <v>740</v>
      </c>
      <c r="O25" t="s">
        <v>741</v>
      </c>
      <c r="P25" t="s">
        <v>1146</v>
      </c>
      <c r="Q25" t="str">
        <f t="shared" si="0"/>
        <v>K</v>
      </c>
      <c r="R25" s="1" t="s">
        <v>1230</v>
      </c>
    </row>
    <row r="26" spans="1:18" x14ac:dyDescent="0.2">
      <c r="A26" t="s">
        <v>357</v>
      </c>
      <c r="B26" t="s">
        <v>357</v>
      </c>
      <c r="C26" t="s">
        <v>21</v>
      </c>
      <c r="D26" t="s">
        <v>358</v>
      </c>
      <c r="E26" t="s">
        <v>359</v>
      </c>
      <c r="F26" t="s">
        <v>360</v>
      </c>
      <c r="G26" t="s">
        <v>361</v>
      </c>
      <c r="H26" t="s">
        <v>21</v>
      </c>
      <c r="I26" t="s">
        <v>22</v>
      </c>
      <c r="J26" t="s">
        <v>331</v>
      </c>
      <c r="K26" t="s">
        <v>362</v>
      </c>
      <c r="L26" t="s">
        <v>363</v>
      </c>
      <c r="M26" t="s">
        <v>21</v>
      </c>
      <c r="N26" t="s">
        <v>364</v>
      </c>
      <c r="O26" t="s">
        <v>365</v>
      </c>
      <c r="P26" t="s">
        <v>1147</v>
      </c>
      <c r="Q26" t="str">
        <f t="shared" si="0"/>
        <v>Ca</v>
      </c>
      <c r="R26" s="1" t="s">
        <v>1232</v>
      </c>
    </row>
    <row r="27" spans="1:18" x14ac:dyDescent="0.2">
      <c r="A27" t="s">
        <v>366</v>
      </c>
      <c r="B27" t="s">
        <v>366</v>
      </c>
      <c r="C27" t="s">
        <v>21</v>
      </c>
      <c r="D27" t="s">
        <v>367</v>
      </c>
      <c r="E27" t="s">
        <v>368</v>
      </c>
      <c r="F27" t="s">
        <v>369</v>
      </c>
      <c r="G27" t="s">
        <v>370</v>
      </c>
      <c r="H27" t="s">
        <v>21</v>
      </c>
      <c r="I27" t="s">
        <v>22</v>
      </c>
      <c r="J27" t="s">
        <v>21</v>
      </c>
      <c r="K27" t="s">
        <v>21</v>
      </c>
      <c r="L27" t="s">
        <v>371</v>
      </c>
      <c r="M27" t="s">
        <v>21</v>
      </c>
      <c r="N27" t="s">
        <v>372</v>
      </c>
      <c r="O27" t="s">
        <v>373</v>
      </c>
      <c r="P27" t="s">
        <v>1148</v>
      </c>
      <c r="Q27" t="str">
        <f t="shared" si="0"/>
        <v>Other</v>
      </c>
      <c r="R27" s="1" t="s">
        <v>1232</v>
      </c>
    </row>
    <row r="28" spans="1:18" x14ac:dyDescent="0.2">
      <c r="A28" t="s">
        <v>777</v>
      </c>
      <c r="B28" t="s">
        <v>777</v>
      </c>
      <c r="C28" t="s">
        <v>16</v>
      </c>
      <c r="D28" t="s">
        <v>778</v>
      </c>
      <c r="E28" t="s">
        <v>779</v>
      </c>
      <c r="F28" t="s">
        <v>780</v>
      </c>
      <c r="G28" t="s">
        <v>781</v>
      </c>
      <c r="H28" t="s">
        <v>21</v>
      </c>
      <c r="I28" t="s">
        <v>22</v>
      </c>
      <c r="J28" t="s">
        <v>21</v>
      </c>
      <c r="K28" t="s">
        <v>782</v>
      </c>
      <c r="L28" t="s">
        <v>21</v>
      </c>
      <c r="M28" t="s">
        <v>21</v>
      </c>
      <c r="N28" t="s">
        <v>783</v>
      </c>
      <c r="O28" t="s">
        <v>635</v>
      </c>
      <c r="P28" t="s">
        <v>1149</v>
      </c>
      <c r="Q28" t="str">
        <f t="shared" si="0"/>
        <v>Na</v>
      </c>
      <c r="R28" s="1" t="s">
        <v>1231</v>
      </c>
    </row>
    <row r="29" spans="1:18" x14ac:dyDescent="0.2">
      <c r="A29" t="s">
        <v>784</v>
      </c>
      <c r="B29" t="s">
        <v>784</v>
      </c>
      <c r="C29" t="s">
        <v>16</v>
      </c>
      <c r="D29" t="s">
        <v>785</v>
      </c>
      <c r="E29" t="s">
        <v>209</v>
      </c>
      <c r="F29" t="s">
        <v>786</v>
      </c>
      <c r="G29" t="s">
        <v>787</v>
      </c>
      <c r="H29" t="s">
        <v>21</v>
      </c>
      <c r="I29" t="s">
        <v>22</v>
      </c>
      <c r="J29" t="s">
        <v>21</v>
      </c>
      <c r="K29" t="s">
        <v>788</v>
      </c>
      <c r="L29" t="s">
        <v>21</v>
      </c>
      <c r="M29" t="s">
        <v>21</v>
      </c>
      <c r="N29" t="s">
        <v>789</v>
      </c>
      <c r="O29" t="s">
        <v>635</v>
      </c>
      <c r="P29" t="s">
        <v>1149</v>
      </c>
      <c r="Q29" t="str">
        <f t="shared" si="0"/>
        <v>Na</v>
      </c>
      <c r="R29" s="1" t="s">
        <v>1231</v>
      </c>
    </row>
    <row r="30" spans="1:18" x14ac:dyDescent="0.2">
      <c r="A30" t="s">
        <v>628</v>
      </c>
      <c r="B30" t="s">
        <v>628</v>
      </c>
      <c r="C30" t="s">
        <v>21</v>
      </c>
      <c r="D30" t="s">
        <v>629</v>
      </c>
      <c r="E30" t="s">
        <v>630</v>
      </c>
      <c r="F30" t="s">
        <v>631</v>
      </c>
      <c r="G30" t="s">
        <v>632</v>
      </c>
      <c r="H30" t="s">
        <v>21</v>
      </c>
      <c r="I30" t="s">
        <v>22</v>
      </c>
      <c r="J30" t="s">
        <v>496</v>
      </c>
      <c r="K30" t="s">
        <v>633</v>
      </c>
      <c r="L30" t="s">
        <v>21</v>
      </c>
      <c r="M30" t="s">
        <v>21</v>
      </c>
      <c r="N30" t="s">
        <v>634</v>
      </c>
      <c r="O30" t="s">
        <v>635</v>
      </c>
      <c r="P30" t="s">
        <v>1150</v>
      </c>
      <c r="Q30" t="str">
        <f t="shared" si="0"/>
        <v>K</v>
      </c>
      <c r="R30" s="1" t="s">
        <v>1230</v>
      </c>
    </row>
    <row r="31" spans="1:18" x14ac:dyDescent="0.2">
      <c r="A31" t="s">
        <v>790</v>
      </c>
      <c r="B31" t="s">
        <v>790</v>
      </c>
      <c r="C31" t="s">
        <v>16</v>
      </c>
      <c r="D31" t="s">
        <v>791</v>
      </c>
      <c r="E31" t="s">
        <v>40</v>
      </c>
      <c r="F31" t="s">
        <v>792</v>
      </c>
      <c r="G31" t="s">
        <v>793</v>
      </c>
      <c r="H31" t="s">
        <v>21</v>
      </c>
      <c r="I31" t="s">
        <v>22</v>
      </c>
      <c r="J31" t="s">
        <v>21</v>
      </c>
      <c r="K31" t="s">
        <v>794</v>
      </c>
      <c r="L31" t="s">
        <v>21</v>
      </c>
      <c r="M31" t="s">
        <v>21</v>
      </c>
      <c r="N31" t="s">
        <v>795</v>
      </c>
      <c r="O31" t="s">
        <v>635</v>
      </c>
      <c r="P31" t="s">
        <v>1149</v>
      </c>
      <c r="Q31" t="str">
        <f t="shared" si="0"/>
        <v>Na</v>
      </c>
      <c r="R31" s="1" t="s">
        <v>1231</v>
      </c>
    </row>
    <row r="32" spans="1:18" x14ac:dyDescent="0.2">
      <c r="A32" t="s">
        <v>613</v>
      </c>
      <c r="B32" t="s">
        <v>613</v>
      </c>
      <c r="C32" t="s">
        <v>21</v>
      </c>
      <c r="D32" t="s">
        <v>614</v>
      </c>
      <c r="E32" t="s">
        <v>493</v>
      </c>
      <c r="F32" t="s">
        <v>615</v>
      </c>
      <c r="G32" t="s">
        <v>616</v>
      </c>
      <c r="H32" t="s">
        <v>21</v>
      </c>
      <c r="I32" t="s">
        <v>22</v>
      </c>
      <c r="J32" t="s">
        <v>21</v>
      </c>
      <c r="K32" t="s">
        <v>21</v>
      </c>
      <c r="L32" t="s">
        <v>617</v>
      </c>
      <c r="M32" t="s">
        <v>21</v>
      </c>
      <c r="N32" t="s">
        <v>618</v>
      </c>
      <c r="O32" t="s">
        <v>619</v>
      </c>
      <c r="P32" t="s">
        <v>1151</v>
      </c>
      <c r="Q32" t="str">
        <f t="shared" si="0"/>
        <v>Other</v>
      </c>
      <c r="R32" s="1" t="s">
        <v>1230</v>
      </c>
    </row>
    <row r="33" spans="1:18" x14ac:dyDescent="0.2">
      <c r="A33" t="s">
        <v>829</v>
      </c>
      <c r="B33" t="s">
        <v>829</v>
      </c>
      <c r="C33" t="s">
        <v>21</v>
      </c>
      <c r="D33" t="s">
        <v>830</v>
      </c>
      <c r="E33" t="s">
        <v>40</v>
      </c>
      <c r="F33" t="s">
        <v>831</v>
      </c>
      <c r="G33" t="s">
        <v>832</v>
      </c>
      <c r="H33" t="s">
        <v>21</v>
      </c>
      <c r="I33" t="s">
        <v>22</v>
      </c>
      <c r="J33" t="s">
        <v>21</v>
      </c>
      <c r="K33" t="s">
        <v>21</v>
      </c>
      <c r="L33" t="s">
        <v>833</v>
      </c>
      <c r="M33" t="s">
        <v>21</v>
      </c>
      <c r="N33" t="s">
        <v>834</v>
      </c>
      <c r="O33" t="s">
        <v>835</v>
      </c>
      <c r="P33" t="s">
        <v>1152</v>
      </c>
      <c r="Q33" t="str">
        <f t="shared" si="0"/>
        <v>Na</v>
      </c>
      <c r="R33" s="1" t="s">
        <v>1231</v>
      </c>
    </row>
    <row r="34" spans="1:18" x14ac:dyDescent="0.2">
      <c r="A34" t="s">
        <v>803</v>
      </c>
      <c r="B34" t="s">
        <v>803</v>
      </c>
      <c r="C34" t="s">
        <v>21</v>
      </c>
      <c r="D34" t="s">
        <v>804</v>
      </c>
      <c r="E34" t="s">
        <v>805</v>
      </c>
      <c r="F34" t="s">
        <v>806</v>
      </c>
      <c r="G34" t="s">
        <v>807</v>
      </c>
      <c r="H34" t="s">
        <v>21</v>
      </c>
      <c r="I34" t="s">
        <v>22</v>
      </c>
      <c r="J34" t="s">
        <v>21</v>
      </c>
      <c r="K34" t="s">
        <v>21</v>
      </c>
      <c r="L34" t="s">
        <v>808</v>
      </c>
      <c r="M34" t="s">
        <v>21</v>
      </c>
      <c r="N34" t="s">
        <v>809</v>
      </c>
      <c r="O34" t="s">
        <v>810</v>
      </c>
      <c r="P34" t="s">
        <v>1153</v>
      </c>
      <c r="Q34" t="str">
        <f t="shared" si="0"/>
        <v>Na</v>
      </c>
      <c r="R34" s="1" t="s">
        <v>1231</v>
      </c>
    </row>
    <row r="35" spans="1:18" x14ac:dyDescent="0.2">
      <c r="A35" t="s">
        <v>636</v>
      </c>
      <c r="B35" t="s">
        <v>636</v>
      </c>
      <c r="C35" t="s">
        <v>21</v>
      </c>
      <c r="D35" t="s">
        <v>637</v>
      </c>
      <c r="E35" t="s">
        <v>638</v>
      </c>
      <c r="F35" t="s">
        <v>639</v>
      </c>
      <c r="G35" t="s">
        <v>640</v>
      </c>
      <c r="H35" t="s">
        <v>21</v>
      </c>
      <c r="I35" t="s">
        <v>22</v>
      </c>
      <c r="J35" t="s">
        <v>21</v>
      </c>
      <c r="K35" t="s">
        <v>21</v>
      </c>
      <c r="L35" t="s">
        <v>21</v>
      </c>
      <c r="M35" t="s">
        <v>21</v>
      </c>
      <c r="N35" t="s">
        <v>641</v>
      </c>
      <c r="O35" t="s">
        <v>642</v>
      </c>
      <c r="P35" t="s">
        <v>1154</v>
      </c>
      <c r="Q35" t="str">
        <f t="shared" si="0"/>
        <v>K</v>
      </c>
      <c r="R35" s="1" t="s">
        <v>1230</v>
      </c>
    </row>
    <row r="36" spans="1:18" x14ac:dyDescent="0.2">
      <c r="A36" t="s">
        <v>683</v>
      </c>
      <c r="B36" t="s">
        <v>683</v>
      </c>
      <c r="C36" t="s">
        <v>21</v>
      </c>
      <c r="D36" t="s">
        <v>684</v>
      </c>
      <c r="E36" t="s">
        <v>685</v>
      </c>
      <c r="F36" t="s">
        <v>686</v>
      </c>
      <c r="G36" t="s">
        <v>687</v>
      </c>
      <c r="H36" t="s">
        <v>21</v>
      </c>
      <c r="I36" t="s">
        <v>22</v>
      </c>
      <c r="J36" t="s">
        <v>21</v>
      </c>
      <c r="K36" t="s">
        <v>21</v>
      </c>
      <c r="L36" t="s">
        <v>688</v>
      </c>
      <c r="M36" t="s">
        <v>21</v>
      </c>
      <c r="N36" t="s">
        <v>689</v>
      </c>
      <c r="O36" t="s">
        <v>690</v>
      </c>
      <c r="P36" t="s">
        <v>1155</v>
      </c>
      <c r="Q36" t="str">
        <f t="shared" si="0"/>
        <v>Other</v>
      </c>
      <c r="R36" s="1" t="s">
        <v>1230</v>
      </c>
    </row>
    <row r="37" spans="1:18" x14ac:dyDescent="0.2">
      <c r="A37" t="s">
        <v>691</v>
      </c>
      <c r="B37" t="s">
        <v>691</v>
      </c>
      <c r="C37" t="s">
        <v>21</v>
      </c>
      <c r="D37" t="s">
        <v>692</v>
      </c>
      <c r="E37" t="s">
        <v>685</v>
      </c>
      <c r="F37" t="s">
        <v>693</v>
      </c>
      <c r="G37" t="s">
        <v>694</v>
      </c>
      <c r="H37" t="s">
        <v>21</v>
      </c>
      <c r="I37" t="s">
        <v>22</v>
      </c>
      <c r="J37" t="s">
        <v>21</v>
      </c>
      <c r="K37" t="s">
        <v>21</v>
      </c>
      <c r="L37" t="s">
        <v>695</v>
      </c>
      <c r="M37" t="s">
        <v>21</v>
      </c>
      <c r="N37" t="s">
        <v>696</v>
      </c>
      <c r="O37" t="s">
        <v>690</v>
      </c>
      <c r="P37" t="s">
        <v>1155</v>
      </c>
      <c r="Q37" t="str">
        <f t="shared" si="0"/>
        <v>Other</v>
      </c>
      <c r="R37" s="1" t="s">
        <v>1230</v>
      </c>
    </row>
    <row r="38" spans="1:18" x14ac:dyDescent="0.2">
      <c r="A38" t="s">
        <v>605</v>
      </c>
      <c r="B38" t="s">
        <v>605</v>
      </c>
      <c r="C38" t="s">
        <v>21</v>
      </c>
      <c r="D38" t="s">
        <v>606</v>
      </c>
      <c r="E38" t="s">
        <v>40</v>
      </c>
      <c r="F38" t="s">
        <v>607</v>
      </c>
      <c r="G38" t="s">
        <v>608</v>
      </c>
      <c r="H38" t="s">
        <v>21</v>
      </c>
      <c r="I38" t="s">
        <v>22</v>
      </c>
      <c r="J38" t="s">
        <v>322</v>
      </c>
      <c r="K38" t="s">
        <v>609</v>
      </c>
      <c r="L38" t="s">
        <v>610</v>
      </c>
      <c r="M38" t="s">
        <v>611</v>
      </c>
      <c r="N38" t="s">
        <v>21</v>
      </c>
      <c r="O38" t="s">
        <v>612</v>
      </c>
      <c r="P38" t="s">
        <v>1156</v>
      </c>
      <c r="Q38" t="str">
        <f t="shared" si="0"/>
        <v>Na</v>
      </c>
      <c r="R38" s="1" t="s">
        <v>1230</v>
      </c>
    </row>
    <row r="39" spans="1:18" x14ac:dyDescent="0.2">
      <c r="A39" t="s">
        <v>134</v>
      </c>
      <c r="B39" t="s">
        <v>134</v>
      </c>
      <c r="C39" t="s">
        <v>21</v>
      </c>
      <c r="D39" t="s">
        <v>135</v>
      </c>
      <c r="E39" t="s">
        <v>40</v>
      </c>
      <c r="F39" t="s">
        <v>136</v>
      </c>
      <c r="G39" t="s">
        <v>137</v>
      </c>
      <c r="H39" t="s">
        <v>21</v>
      </c>
      <c r="I39" t="s">
        <v>22</v>
      </c>
      <c r="J39" t="s">
        <v>33</v>
      </c>
      <c r="K39" t="s">
        <v>138</v>
      </c>
      <c r="L39" t="s">
        <v>139</v>
      </c>
      <c r="M39" t="s">
        <v>21</v>
      </c>
      <c r="N39" t="s">
        <v>140</v>
      </c>
      <c r="O39" t="s">
        <v>141</v>
      </c>
      <c r="P39" t="s">
        <v>1157</v>
      </c>
      <c r="Q39" t="str">
        <f t="shared" si="0"/>
        <v>Ca</v>
      </c>
      <c r="R39" s="1" t="s">
        <v>1232</v>
      </c>
    </row>
    <row r="40" spans="1:18" x14ac:dyDescent="0.2">
      <c r="A40" t="s">
        <v>226</v>
      </c>
      <c r="B40" t="s">
        <v>226</v>
      </c>
      <c r="C40" t="s">
        <v>16</v>
      </c>
      <c r="D40" t="s">
        <v>227</v>
      </c>
      <c r="E40" t="s">
        <v>40</v>
      </c>
      <c r="F40" t="s">
        <v>228</v>
      </c>
      <c r="G40" t="s">
        <v>229</v>
      </c>
      <c r="H40" t="s">
        <v>21</v>
      </c>
      <c r="I40" t="s">
        <v>22</v>
      </c>
      <c r="J40" t="s">
        <v>21</v>
      </c>
      <c r="K40" t="s">
        <v>230</v>
      </c>
      <c r="L40" t="s">
        <v>231</v>
      </c>
      <c r="M40" t="s">
        <v>21</v>
      </c>
      <c r="N40" t="s">
        <v>232</v>
      </c>
      <c r="O40" t="s">
        <v>141</v>
      </c>
      <c r="P40" t="s">
        <v>1158</v>
      </c>
      <c r="Q40" t="str">
        <f t="shared" si="0"/>
        <v>Ca</v>
      </c>
      <c r="R40" s="1" t="s">
        <v>1232</v>
      </c>
    </row>
    <row r="41" spans="1:18" x14ac:dyDescent="0.2">
      <c r="A41" t="s">
        <v>474</v>
      </c>
      <c r="B41" t="s">
        <v>474</v>
      </c>
      <c r="C41" t="s">
        <v>16</v>
      </c>
      <c r="D41" t="s">
        <v>475</v>
      </c>
      <c r="E41" t="s">
        <v>476</v>
      </c>
      <c r="F41" t="s">
        <v>477</v>
      </c>
      <c r="G41" t="s">
        <v>478</v>
      </c>
      <c r="H41" t="s">
        <v>21</v>
      </c>
      <c r="I41" t="s">
        <v>22</v>
      </c>
      <c r="J41" t="s">
        <v>479</v>
      </c>
      <c r="K41" t="s">
        <v>480</v>
      </c>
      <c r="L41" t="s">
        <v>481</v>
      </c>
      <c r="M41" t="s">
        <v>21</v>
      </c>
      <c r="N41" t="s">
        <v>482</v>
      </c>
      <c r="O41" t="s">
        <v>483</v>
      </c>
      <c r="P41" t="s">
        <v>1159</v>
      </c>
      <c r="Q41" t="str">
        <f t="shared" si="0"/>
        <v>Other</v>
      </c>
      <c r="R41" s="1" t="s">
        <v>1232</v>
      </c>
    </row>
    <row r="42" spans="1:18" x14ac:dyDescent="0.2">
      <c r="A42" t="s">
        <v>509</v>
      </c>
      <c r="B42" t="s">
        <v>509</v>
      </c>
      <c r="C42" t="s">
        <v>21</v>
      </c>
      <c r="D42" t="s">
        <v>510</v>
      </c>
      <c r="E42" t="s">
        <v>486</v>
      </c>
      <c r="F42" t="s">
        <v>511</v>
      </c>
      <c r="G42" t="s">
        <v>512</v>
      </c>
      <c r="H42" t="s">
        <v>21</v>
      </c>
      <c r="I42" t="s">
        <v>22</v>
      </c>
      <c r="J42" t="s">
        <v>21</v>
      </c>
      <c r="K42" t="s">
        <v>21</v>
      </c>
      <c r="L42" t="s">
        <v>513</v>
      </c>
      <c r="M42" t="s">
        <v>21</v>
      </c>
      <c r="N42" t="s">
        <v>21</v>
      </c>
      <c r="O42" t="s">
        <v>490</v>
      </c>
      <c r="P42" t="s">
        <v>1160</v>
      </c>
      <c r="Q42" t="str">
        <f t="shared" si="0"/>
        <v>Other</v>
      </c>
      <c r="R42" s="1" t="s">
        <v>1232</v>
      </c>
    </row>
    <row r="43" spans="1:18" x14ac:dyDescent="0.2">
      <c r="A43" t="s">
        <v>484</v>
      </c>
      <c r="B43" t="s">
        <v>484</v>
      </c>
      <c r="C43" t="s">
        <v>21</v>
      </c>
      <c r="D43" t="s">
        <v>485</v>
      </c>
      <c r="E43" t="s">
        <v>486</v>
      </c>
      <c r="F43" t="s">
        <v>487</v>
      </c>
      <c r="G43" t="s">
        <v>488</v>
      </c>
      <c r="H43" t="s">
        <v>21</v>
      </c>
      <c r="I43" t="s">
        <v>22</v>
      </c>
      <c r="J43" t="s">
        <v>21</v>
      </c>
      <c r="K43" t="s">
        <v>21</v>
      </c>
      <c r="L43" t="s">
        <v>489</v>
      </c>
      <c r="M43" t="s">
        <v>21</v>
      </c>
      <c r="N43" t="s">
        <v>21</v>
      </c>
      <c r="O43" t="s">
        <v>490</v>
      </c>
      <c r="P43" t="s">
        <v>1161</v>
      </c>
      <c r="Q43" t="str">
        <f t="shared" si="0"/>
        <v>Other</v>
      </c>
      <c r="R43" s="1" t="s">
        <v>1232</v>
      </c>
    </row>
    <row r="44" spans="1:18" x14ac:dyDescent="0.2">
      <c r="A44" t="s">
        <v>491</v>
      </c>
      <c r="B44" t="s">
        <v>491</v>
      </c>
      <c r="C44" t="s">
        <v>21</v>
      </c>
      <c r="D44" t="s">
        <v>492</v>
      </c>
      <c r="E44" t="s">
        <v>493</v>
      </c>
      <c r="F44" t="s">
        <v>494</v>
      </c>
      <c r="G44" t="s">
        <v>495</v>
      </c>
      <c r="H44" t="s">
        <v>21</v>
      </c>
      <c r="I44" t="s">
        <v>22</v>
      </c>
      <c r="J44" t="s">
        <v>496</v>
      </c>
      <c r="K44" t="s">
        <v>497</v>
      </c>
      <c r="L44" t="s">
        <v>498</v>
      </c>
      <c r="M44" t="s">
        <v>21</v>
      </c>
      <c r="N44" t="s">
        <v>499</v>
      </c>
      <c r="O44" t="s">
        <v>483</v>
      </c>
      <c r="P44" t="s">
        <v>1159</v>
      </c>
      <c r="Q44" t="str">
        <f t="shared" si="0"/>
        <v>Other</v>
      </c>
      <c r="R44" s="1" t="s">
        <v>1232</v>
      </c>
    </row>
    <row r="45" spans="1:18" x14ac:dyDescent="0.2">
      <c r="A45" t="s">
        <v>930</v>
      </c>
      <c r="B45" t="s">
        <v>930</v>
      </c>
      <c r="C45" t="s">
        <v>21</v>
      </c>
      <c r="D45" t="s">
        <v>931</v>
      </c>
      <c r="E45" t="s">
        <v>630</v>
      </c>
      <c r="F45" t="s">
        <v>932</v>
      </c>
      <c r="G45" t="s">
        <v>933</v>
      </c>
      <c r="H45" t="s">
        <v>21</v>
      </c>
      <c r="I45" t="s">
        <v>22</v>
      </c>
      <c r="J45" t="s">
        <v>21</v>
      </c>
      <c r="K45" t="s">
        <v>21</v>
      </c>
      <c r="L45" t="s">
        <v>934</v>
      </c>
      <c r="M45" t="s">
        <v>21</v>
      </c>
      <c r="N45" t="s">
        <v>935</v>
      </c>
      <c r="O45" t="s">
        <v>936</v>
      </c>
      <c r="P45" t="s">
        <v>1162</v>
      </c>
      <c r="Q45" t="str">
        <f t="shared" si="0"/>
        <v>Na</v>
      </c>
      <c r="R45" s="1" t="s">
        <v>1231</v>
      </c>
    </row>
    <row r="46" spans="1:18" x14ac:dyDescent="0.2">
      <c r="A46" t="s">
        <v>953</v>
      </c>
      <c r="B46" t="s">
        <v>953</v>
      </c>
      <c r="C46" t="s">
        <v>21</v>
      </c>
      <c r="D46" t="s">
        <v>954</v>
      </c>
      <c r="E46" t="s">
        <v>127</v>
      </c>
      <c r="F46" t="s">
        <v>955</v>
      </c>
      <c r="G46" t="s">
        <v>956</v>
      </c>
      <c r="H46" t="s">
        <v>21</v>
      </c>
      <c r="I46" t="s">
        <v>22</v>
      </c>
      <c r="J46" t="s">
        <v>33</v>
      </c>
      <c r="K46" t="s">
        <v>957</v>
      </c>
      <c r="L46" t="s">
        <v>958</v>
      </c>
      <c r="M46" t="s">
        <v>21</v>
      </c>
      <c r="N46" t="s">
        <v>959</v>
      </c>
      <c r="O46" t="s">
        <v>133</v>
      </c>
      <c r="P46" t="s">
        <v>1163</v>
      </c>
      <c r="Q46" t="str">
        <f t="shared" si="0"/>
        <v>Na</v>
      </c>
      <c r="R46" s="1" t="s">
        <v>1231</v>
      </c>
    </row>
    <row r="47" spans="1:18" x14ac:dyDescent="0.2">
      <c r="A47" t="s">
        <v>967</v>
      </c>
      <c r="B47" t="s">
        <v>967</v>
      </c>
      <c r="C47" t="s">
        <v>21</v>
      </c>
      <c r="D47" t="s">
        <v>968</v>
      </c>
      <c r="E47" t="s">
        <v>127</v>
      </c>
      <c r="F47" t="s">
        <v>969</v>
      </c>
      <c r="G47" t="s">
        <v>970</v>
      </c>
      <c r="H47" t="s">
        <v>21</v>
      </c>
      <c r="I47" t="s">
        <v>22</v>
      </c>
      <c r="J47" t="s">
        <v>33</v>
      </c>
      <c r="K47" t="s">
        <v>971</v>
      </c>
      <c r="L47" t="s">
        <v>972</v>
      </c>
      <c r="M47" t="s">
        <v>21</v>
      </c>
      <c r="N47" t="s">
        <v>959</v>
      </c>
      <c r="O47" t="s">
        <v>133</v>
      </c>
      <c r="P47" t="s">
        <v>1163</v>
      </c>
      <c r="Q47" t="str">
        <f t="shared" si="0"/>
        <v>Na</v>
      </c>
      <c r="R47" s="1" t="s">
        <v>1231</v>
      </c>
    </row>
    <row r="48" spans="1:18" x14ac:dyDescent="0.2">
      <c r="A48" t="s">
        <v>125</v>
      </c>
      <c r="B48" t="s">
        <v>125</v>
      </c>
      <c r="C48" t="s">
        <v>21</v>
      </c>
      <c r="D48" t="s">
        <v>126</v>
      </c>
      <c r="E48" t="s">
        <v>127</v>
      </c>
      <c r="F48" t="s">
        <v>128</v>
      </c>
      <c r="G48" t="s">
        <v>129</v>
      </c>
      <c r="H48" t="s">
        <v>21</v>
      </c>
      <c r="I48" t="s">
        <v>22</v>
      </c>
      <c r="J48" t="s">
        <v>33</v>
      </c>
      <c r="K48" t="s">
        <v>130</v>
      </c>
      <c r="L48" t="s">
        <v>131</v>
      </c>
      <c r="M48" t="s">
        <v>21</v>
      </c>
      <c r="N48" t="s">
        <v>132</v>
      </c>
      <c r="O48" t="s">
        <v>133</v>
      </c>
      <c r="P48" t="s">
        <v>1164</v>
      </c>
      <c r="Q48" t="str">
        <f t="shared" si="0"/>
        <v>Ca</v>
      </c>
      <c r="R48" s="1" t="s">
        <v>1232</v>
      </c>
    </row>
    <row r="49" spans="1:18" x14ac:dyDescent="0.2">
      <c r="A49" t="s">
        <v>584</v>
      </c>
      <c r="B49" t="s">
        <v>584</v>
      </c>
      <c r="C49" t="s">
        <v>16</v>
      </c>
      <c r="D49" t="s">
        <v>585</v>
      </c>
      <c r="E49" t="s">
        <v>127</v>
      </c>
      <c r="F49" t="s">
        <v>586</v>
      </c>
      <c r="G49" t="s">
        <v>587</v>
      </c>
      <c r="H49" t="s">
        <v>21</v>
      </c>
      <c r="I49" t="s">
        <v>22</v>
      </c>
      <c r="J49" t="s">
        <v>21</v>
      </c>
      <c r="K49" t="s">
        <v>588</v>
      </c>
      <c r="L49" t="s">
        <v>589</v>
      </c>
      <c r="M49" t="s">
        <v>576</v>
      </c>
      <c r="N49" t="s">
        <v>21</v>
      </c>
      <c r="O49" t="s">
        <v>583</v>
      </c>
      <c r="P49" t="s">
        <v>1165</v>
      </c>
      <c r="Q49" t="str">
        <f t="shared" si="0"/>
        <v>Other</v>
      </c>
      <c r="R49" s="1" t="s">
        <v>1230</v>
      </c>
    </row>
    <row r="50" spans="1:18" x14ac:dyDescent="0.2">
      <c r="A50" t="s">
        <v>590</v>
      </c>
      <c r="B50" t="s">
        <v>590</v>
      </c>
      <c r="C50" t="s">
        <v>16</v>
      </c>
      <c r="D50" t="s">
        <v>591</v>
      </c>
      <c r="E50" t="s">
        <v>127</v>
      </c>
      <c r="F50" t="s">
        <v>592</v>
      </c>
      <c r="G50" t="s">
        <v>593</v>
      </c>
      <c r="H50" t="s">
        <v>21</v>
      </c>
      <c r="I50" t="s">
        <v>22</v>
      </c>
      <c r="J50" t="s">
        <v>21</v>
      </c>
      <c r="K50" t="s">
        <v>594</v>
      </c>
      <c r="L50" t="s">
        <v>595</v>
      </c>
      <c r="M50" t="s">
        <v>576</v>
      </c>
      <c r="N50" t="s">
        <v>21</v>
      </c>
      <c r="O50" t="s">
        <v>583</v>
      </c>
      <c r="P50" t="s">
        <v>1165</v>
      </c>
      <c r="Q50" t="str">
        <f t="shared" si="0"/>
        <v>Other</v>
      </c>
      <c r="R50" s="1" t="s">
        <v>1230</v>
      </c>
    </row>
    <row r="51" spans="1:18" x14ac:dyDescent="0.2">
      <c r="A51" t="s">
        <v>960</v>
      </c>
      <c r="B51" t="s">
        <v>960</v>
      </c>
      <c r="C51" t="s">
        <v>21</v>
      </c>
      <c r="D51" t="s">
        <v>961</v>
      </c>
      <c r="E51" t="s">
        <v>119</v>
      </c>
      <c r="F51" t="s">
        <v>962</v>
      </c>
      <c r="G51" t="s">
        <v>963</v>
      </c>
      <c r="H51" t="s">
        <v>21</v>
      </c>
      <c r="I51" t="s">
        <v>22</v>
      </c>
      <c r="J51" t="s">
        <v>33</v>
      </c>
      <c r="K51" t="s">
        <v>964</v>
      </c>
      <c r="L51" t="s">
        <v>965</v>
      </c>
      <c r="M51" t="s">
        <v>21</v>
      </c>
      <c r="N51" t="s">
        <v>966</v>
      </c>
      <c r="O51" t="s">
        <v>21</v>
      </c>
      <c r="P51" t="s">
        <v>1166</v>
      </c>
      <c r="Q51" t="str">
        <f t="shared" si="0"/>
        <v>Na</v>
      </c>
      <c r="R51" s="1" t="s">
        <v>1231</v>
      </c>
    </row>
    <row r="52" spans="1:18" x14ac:dyDescent="0.2">
      <c r="A52" t="s">
        <v>117</v>
      </c>
      <c r="B52" t="s">
        <v>117</v>
      </c>
      <c r="C52" t="s">
        <v>21</v>
      </c>
      <c r="D52" t="s">
        <v>118</v>
      </c>
      <c r="E52" t="s">
        <v>119</v>
      </c>
      <c r="F52" t="s">
        <v>120</v>
      </c>
      <c r="G52" t="s">
        <v>121</v>
      </c>
      <c r="H52" t="s">
        <v>21</v>
      </c>
      <c r="I52" t="s">
        <v>22</v>
      </c>
      <c r="J52" t="s">
        <v>33</v>
      </c>
      <c r="K52" t="s">
        <v>122</v>
      </c>
      <c r="L52" t="s">
        <v>123</v>
      </c>
      <c r="M52" t="s">
        <v>21</v>
      </c>
      <c r="N52" t="s">
        <v>124</v>
      </c>
      <c r="O52" t="s">
        <v>21</v>
      </c>
      <c r="P52" t="s">
        <v>1167</v>
      </c>
      <c r="Q52" t="str">
        <f t="shared" si="0"/>
        <v>Ca</v>
      </c>
      <c r="R52" s="1" t="s">
        <v>1232</v>
      </c>
    </row>
    <row r="53" spans="1:18" x14ac:dyDescent="0.2">
      <c r="A53" t="s">
        <v>1048</v>
      </c>
      <c r="B53" t="s">
        <v>1048</v>
      </c>
      <c r="C53" t="s">
        <v>21</v>
      </c>
      <c r="D53" t="s">
        <v>1049</v>
      </c>
      <c r="E53" t="s">
        <v>287</v>
      </c>
      <c r="F53" t="s">
        <v>1050</v>
      </c>
      <c r="G53" t="s">
        <v>1051</v>
      </c>
      <c r="H53" t="s">
        <v>21</v>
      </c>
      <c r="I53" t="s">
        <v>22</v>
      </c>
      <c r="J53" t="s">
        <v>21</v>
      </c>
      <c r="K53" t="s">
        <v>21</v>
      </c>
      <c r="L53" t="s">
        <v>1052</v>
      </c>
      <c r="M53" t="s">
        <v>21</v>
      </c>
      <c r="N53" t="s">
        <v>1053</v>
      </c>
      <c r="O53" t="s">
        <v>1054</v>
      </c>
      <c r="P53" t="s">
        <v>1168</v>
      </c>
      <c r="Q53" t="str">
        <f t="shared" si="0"/>
        <v>Na</v>
      </c>
      <c r="R53" s="1" t="s">
        <v>1231</v>
      </c>
    </row>
    <row r="54" spans="1:18" x14ac:dyDescent="0.2">
      <c r="A54" t="s">
        <v>596</v>
      </c>
      <c r="B54" t="s">
        <v>596</v>
      </c>
      <c r="C54" t="s">
        <v>21</v>
      </c>
      <c r="D54" t="s">
        <v>597</v>
      </c>
      <c r="E54" t="s">
        <v>598</v>
      </c>
      <c r="F54" t="s">
        <v>599</v>
      </c>
      <c r="G54" t="s">
        <v>600</v>
      </c>
      <c r="H54" t="s">
        <v>21</v>
      </c>
      <c r="I54" t="s">
        <v>22</v>
      </c>
      <c r="J54" t="s">
        <v>322</v>
      </c>
      <c r="K54" t="s">
        <v>601</v>
      </c>
      <c r="L54" t="s">
        <v>602</v>
      </c>
      <c r="M54" t="s">
        <v>603</v>
      </c>
      <c r="N54" t="s">
        <v>21</v>
      </c>
      <c r="O54" t="s">
        <v>604</v>
      </c>
      <c r="P54" t="s">
        <v>1169</v>
      </c>
      <c r="Q54" t="str">
        <f t="shared" si="0"/>
        <v>Na</v>
      </c>
      <c r="R54" s="1" t="s">
        <v>1230</v>
      </c>
    </row>
    <row r="55" spans="1:18" x14ac:dyDescent="0.2">
      <c r="A55" t="s">
        <v>697</v>
      </c>
      <c r="B55" t="s">
        <v>697</v>
      </c>
      <c r="C55" t="s">
        <v>21</v>
      </c>
      <c r="D55" t="s">
        <v>698</v>
      </c>
      <c r="E55" t="s">
        <v>244</v>
      </c>
      <c r="F55" t="s">
        <v>699</v>
      </c>
      <c r="G55" t="s">
        <v>700</v>
      </c>
      <c r="H55" t="s">
        <v>21</v>
      </c>
      <c r="I55" t="s">
        <v>22</v>
      </c>
      <c r="J55" t="s">
        <v>21</v>
      </c>
      <c r="K55" t="s">
        <v>21</v>
      </c>
      <c r="L55" t="s">
        <v>701</v>
      </c>
      <c r="M55" t="s">
        <v>21</v>
      </c>
      <c r="N55" t="s">
        <v>702</v>
      </c>
      <c r="O55" t="s">
        <v>703</v>
      </c>
      <c r="P55" t="s">
        <v>1170</v>
      </c>
      <c r="Q55" t="str">
        <f t="shared" si="0"/>
        <v>K</v>
      </c>
      <c r="R55" s="1" t="s">
        <v>1230</v>
      </c>
    </row>
    <row r="56" spans="1:18" x14ac:dyDescent="0.2">
      <c r="A56" t="s">
        <v>1101</v>
      </c>
      <c r="B56" t="s">
        <v>1101</v>
      </c>
      <c r="C56" t="s">
        <v>21</v>
      </c>
      <c r="D56" t="s">
        <v>1102</v>
      </c>
      <c r="E56" t="s">
        <v>1103</v>
      </c>
      <c r="F56" t="s">
        <v>1104</v>
      </c>
      <c r="G56" t="s">
        <v>1105</v>
      </c>
      <c r="H56" t="s">
        <v>21</v>
      </c>
      <c r="I56" t="s">
        <v>22</v>
      </c>
      <c r="J56" t="s">
        <v>21</v>
      </c>
      <c r="K56" t="s">
        <v>21</v>
      </c>
      <c r="L56" t="s">
        <v>1106</v>
      </c>
      <c r="M56" t="s">
        <v>21</v>
      </c>
      <c r="N56" t="s">
        <v>1107</v>
      </c>
      <c r="O56" t="s">
        <v>1108</v>
      </c>
      <c r="P56" t="s">
        <v>1171</v>
      </c>
      <c r="Q56" t="str">
        <f t="shared" si="0"/>
        <v>Ca</v>
      </c>
      <c r="R56" s="1" t="s">
        <v>1231</v>
      </c>
    </row>
    <row r="57" spans="1:18" x14ac:dyDescent="0.2">
      <c r="A57" t="s">
        <v>923</v>
      </c>
      <c r="B57" t="s">
        <v>923</v>
      </c>
      <c r="C57" t="s">
        <v>21</v>
      </c>
      <c r="D57" t="s">
        <v>924</v>
      </c>
      <c r="E57" t="s">
        <v>486</v>
      </c>
      <c r="F57" t="s">
        <v>925</v>
      </c>
      <c r="G57" t="s">
        <v>926</v>
      </c>
      <c r="H57" t="s">
        <v>21</v>
      </c>
      <c r="I57" t="s">
        <v>22</v>
      </c>
      <c r="J57" t="s">
        <v>21</v>
      </c>
      <c r="K57" t="s">
        <v>21</v>
      </c>
      <c r="L57" t="s">
        <v>927</v>
      </c>
      <c r="M57" t="s">
        <v>21</v>
      </c>
      <c r="N57" t="s">
        <v>928</v>
      </c>
      <c r="O57" t="s">
        <v>929</v>
      </c>
      <c r="P57" t="s">
        <v>1152</v>
      </c>
      <c r="Q57" t="str">
        <f t="shared" si="0"/>
        <v>Na</v>
      </c>
      <c r="R57" s="1" t="s">
        <v>1231</v>
      </c>
    </row>
    <row r="58" spans="1:18" x14ac:dyDescent="0.2">
      <c r="A58" t="s">
        <v>151</v>
      </c>
      <c r="B58" t="s">
        <v>151</v>
      </c>
      <c r="C58" t="s">
        <v>21</v>
      </c>
      <c r="D58" t="s">
        <v>152</v>
      </c>
      <c r="E58" t="s">
        <v>153</v>
      </c>
      <c r="F58" t="s">
        <v>154</v>
      </c>
      <c r="G58" t="s">
        <v>155</v>
      </c>
      <c r="H58" t="s">
        <v>21</v>
      </c>
      <c r="I58" t="s">
        <v>22</v>
      </c>
      <c r="J58" t="s">
        <v>21</v>
      </c>
      <c r="K58" t="s">
        <v>21</v>
      </c>
      <c r="L58" t="s">
        <v>156</v>
      </c>
      <c r="M58" t="s">
        <v>157</v>
      </c>
      <c r="N58" t="s">
        <v>21</v>
      </c>
      <c r="O58" t="s">
        <v>158</v>
      </c>
      <c r="P58" t="s">
        <v>1172</v>
      </c>
      <c r="Q58" t="str">
        <f t="shared" si="0"/>
        <v>Ca</v>
      </c>
      <c r="R58" s="1" t="s">
        <v>1232</v>
      </c>
    </row>
    <row r="59" spans="1:18" x14ac:dyDescent="0.2">
      <c r="A59" t="s">
        <v>272</v>
      </c>
      <c r="B59" t="s">
        <v>272</v>
      </c>
      <c r="C59" t="s">
        <v>21</v>
      </c>
      <c r="D59" t="s">
        <v>273</v>
      </c>
      <c r="E59" t="s">
        <v>264</v>
      </c>
      <c r="F59" t="s">
        <v>274</v>
      </c>
      <c r="G59" t="s">
        <v>275</v>
      </c>
      <c r="H59" t="s">
        <v>21</v>
      </c>
      <c r="I59" t="s">
        <v>22</v>
      </c>
      <c r="J59" t="s">
        <v>33</v>
      </c>
      <c r="K59" t="s">
        <v>276</v>
      </c>
      <c r="L59" t="s">
        <v>277</v>
      </c>
      <c r="M59" t="s">
        <v>21</v>
      </c>
      <c r="N59" t="s">
        <v>278</v>
      </c>
      <c r="O59" t="s">
        <v>271</v>
      </c>
      <c r="P59" t="s">
        <v>1173</v>
      </c>
      <c r="Q59" t="str">
        <f t="shared" si="0"/>
        <v>Ca</v>
      </c>
      <c r="R59" s="1" t="s">
        <v>1232</v>
      </c>
    </row>
    <row r="60" spans="1:18" x14ac:dyDescent="0.2">
      <c r="A60" t="s">
        <v>534</v>
      </c>
      <c r="B60" t="s">
        <v>534</v>
      </c>
      <c r="C60" t="s">
        <v>16</v>
      </c>
      <c r="D60" t="s">
        <v>535</v>
      </c>
      <c r="E60" t="s">
        <v>264</v>
      </c>
      <c r="F60" t="s">
        <v>536</v>
      </c>
      <c r="G60" t="s">
        <v>537</v>
      </c>
      <c r="H60" t="s">
        <v>21</v>
      </c>
      <c r="I60" t="s">
        <v>22</v>
      </c>
      <c r="J60" t="s">
        <v>538</v>
      </c>
      <c r="K60" t="s">
        <v>539</v>
      </c>
      <c r="L60" t="s">
        <v>540</v>
      </c>
      <c r="M60" t="s">
        <v>21</v>
      </c>
      <c r="N60" t="s">
        <v>541</v>
      </c>
      <c r="O60" t="s">
        <v>542</v>
      </c>
      <c r="P60" t="s">
        <v>1174</v>
      </c>
      <c r="Q60" t="str">
        <f t="shared" si="0"/>
        <v>Ca</v>
      </c>
      <c r="R60" s="1" t="s">
        <v>1232</v>
      </c>
    </row>
    <row r="61" spans="1:18" x14ac:dyDescent="0.2">
      <c r="A61" t="s">
        <v>262</v>
      </c>
      <c r="B61" t="s">
        <v>262</v>
      </c>
      <c r="C61" t="s">
        <v>16</v>
      </c>
      <c r="D61" t="s">
        <v>263</v>
      </c>
      <c r="E61" t="s">
        <v>264</v>
      </c>
      <c r="F61" t="s">
        <v>265</v>
      </c>
      <c r="G61" t="s">
        <v>266</v>
      </c>
      <c r="H61" t="s">
        <v>21</v>
      </c>
      <c r="I61" t="s">
        <v>22</v>
      </c>
      <c r="J61" t="s">
        <v>267</v>
      </c>
      <c r="K61" t="s">
        <v>268</v>
      </c>
      <c r="L61" t="s">
        <v>269</v>
      </c>
      <c r="M61" t="s">
        <v>21</v>
      </c>
      <c r="N61" t="s">
        <v>270</v>
      </c>
      <c r="O61" t="s">
        <v>271</v>
      </c>
      <c r="P61" t="s">
        <v>1175</v>
      </c>
      <c r="Q61" t="str">
        <f t="shared" si="0"/>
        <v>Ca</v>
      </c>
      <c r="R61" s="1" t="s">
        <v>1232</v>
      </c>
    </row>
    <row r="62" spans="1:18" x14ac:dyDescent="0.2">
      <c r="A62" t="s">
        <v>570</v>
      </c>
      <c r="B62" t="s">
        <v>570</v>
      </c>
      <c r="C62" t="s">
        <v>16</v>
      </c>
      <c r="D62" t="s">
        <v>571</v>
      </c>
      <c r="E62" t="s">
        <v>264</v>
      </c>
      <c r="F62" t="s">
        <v>572</v>
      </c>
      <c r="G62" t="s">
        <v>573</v>
      </c>
      <c r="H62" t="s">
        <v>21</v>
      </c>
      <c r="I62" t="s">
        <v>22</v>
      </c>
      <c r="J62" t="s">
        <v>21</v>
      </c>
      <c r="K62" t="s">
        <v>574</v>
      </c>
      <c r="L62" t="s">
        <v>575</v>
      </c>
      <c r="M62" t="s">
        <v>576</v>
      </c>
      <c r="N62" t="s">
        <v>21</v>
      </c>
      <c r="O62" t="s">
        <v>271</v>
      </c>
      <c r="P62" t="s">
        <v>1176</v>
      </c>
      <c r="Q62" t="str">
        <f t="shared" si="0"/>
        <v>Other</v>
      </c>
      <c r="R62" s="1" t="s">
        <v>1230</v>
      </c>
    </row>
    <row r="63" spans="1:18" x14ac:dyDescent="0.2">
      <c r="A63" t="s">
        <v>318</v>
      </c>
      <c r="B63" t="s">
        <v>318</v>
      </c>
      <c r="C63" t="s">
        <v>21</v>
      </c>
      <c r="D63" t="s">
        <v>319</v>
      </c>
      <c r="E63" t="s">
        <v>264</v>
      </c>
      <c r="F63" t="s">
        <v>320</v>
      </c>
      <c r="G63" t="s">
        <v>321</v>
      </c>
      <c r="H63" t="s">
        <v>21</v>
      </c>
      <c r="I63" t="s">
        <v>22</v>
      </c>
      <c r="J63" t="s">
        <v>322</v>
      </c>
      <c r="K63" t="s">
        <v>323</v>
      </c>
      <c r="L63" t="s">
        <v>324</v>
      </c>
      <c r="M63" t="s">
        <v>21</v>
      </c>
      <c r="N63" t="s">
        <v>325</v>
      </c>
      <c r="O63" t="s">
        <v>271</v>
      </c>
      <c r="P63" t="s">
        <v>1177</v>
      </c>
      <c r="Q63" t="str">
        <f t="shared" si="0"/>
        <v>Other</v>
      </c>
      <c r="R63" s="1" t="s">
        <v>1232</v>
      </c>
    </row>
    <row r="64" spans="1:18" x14ac:dyDescent="0.2">
      <c r="A64" t="s">
        <v>728</v>
      </c>
      <c r="B64" t="s">
        <v>728</v>
      </c>
      <c r="C64" t="s">
        <v>21</v>
      </c>
      <c r="D64" t="s">
        <v>729</v>
      </c>
      <c r="E64" t="s">
        <v>264</v>
      </c>
      <c r="F64" t="s">
        <v>730</v>
      </c>
      <c r="G64" t="s">
        <v>731</v>
      </c>
      <c r="H64" t="s">
        <v>21</v>
      </c>
      <c r="I64" t="s">
        <v>22</v>
      </c>
      <c r="J64" t="s">
        <v>331</v>
      </c>
      <c r="K64" t="s">
        <v>21</v>
      </c>
      <c r="L64" t="s">
        <v>21</v>
      </c>
      <c r="M64" t="s">
        <v>732</v>
      </c>
      <c r="N64" t="s">
        <v>733</v>
      </c>
      <c r="O64" t="s">
        <v>271</v>
      </c>
      <c r="P64" t="s">
        <v>1178</v>
      </c>
      <c r="Q64" t="str">
        <f t="shared" si="0"/>
        <v>K</v>
      </c>
      <c r="R64" s="1" t="s">
        <v>1230</v>
      </c>
    </row>
    <row r="65" spans="1:18" x14ac:dyDescent="0.2">
      <c r="A65" t="s">
        <v>384</v>
      </c>
      <c r="B65" t="s">
        <v>384</v>
      </c>
      <c r="C65" t="s">
        <v>21</v>
      </c>
      <c r="D65" t="s">
        <v>385</v>
      </c>
      <c r="E65" t="s">
        <v>287</v>
      </c>
      <c r="F65" t="s">
        <v>386</v>
      </c>
      <c r="G65" t="s">
        <v>387</v>
      </c>
      <c r="H65" t="s">
        <v>21</v>
      </c>
      <c r="I65" t="s">
        <v>22</v>
      </c>
      <c r="J65" t="s">
        <v>33</v>
      </c>
      <c r="K65" t="s">
        <v>388</v>
      </c>
      <c r="L65" t="s">
        <v>389</v>
      </c>
      <c r="M65" t="s">
        <v>21</v>
      </c>
      <c r="N65" t="s">
        <v>132</v>
      </c>
      <c r="O65" t="s">
        <v>390</v>
      </c>
      <c r="P65" t="s">
        <v>1179</v>
      </c>
      <c r="Q65" t="str">
        <f t="shared" si="0"/>
        <v>Ca</v>
      </c>
      <c r="R65" s="1" t="s">
        <v>1232</v>
      </c>
    </row>
    <row r="66" spans="1:18" x14ac:dyDescent="0.2">
      <c r="A66" t="s">
        <v>1086</v>
      </c>
      <c r="B66" t="s">
        <v>1086</v>
      </c>
      <c r="C66" t="s">
        <v>21</v>
      </c>
      <c r="D66" t="s">
        <v>1087</v>
      </c>
      <c r="E66" t="s">
        <v>516</v>
      </c>
      <c r="F66" t="s">
        <v>1088</v>
      </c>
      <c r="G66" t="s">
        <v>1089</v>
      </c>
      <c r="H66" t="s">
        <v>21</v>
      </c>
      <c r="I66" t="s">
        <v>22</v>
      </c>
      <c r="J66" t="s">
        <v>378</v>
      </c>
      <c r="K66" t="s">
        <v>1090</v>
      </c>
      <c r="L66" t="s">
        <v>1091</v>
      </c>
      <c r="M66" t="s">
        <v>21</v>
      </c>
      <c r="N66" t="s">
        <v>1092</v>
      </c>
      <c r="O66" t="s">
        <v>1093</v>
      </c>
      <c r="P66" t="s">
        <v>1180</v>
      </c>
      <c r="Q66" t="str">
        <f t="shared" si="0"/>
        <v>Na</v>
      </c>
      <c r="R66" s="1" t="s">
        <v>1231</v>
      </c>
    </row>
    <row r="67" spans="1:18" x14ac:dyDescent="0.2">
      <c r="A67" t="s">
        <v>500</v>
      </c>
      <c r="B67" t="s">
        <v>500</v>
      </c>
      <c r="C67" t="s">
        <v>16</v>
      </c>
      <c r="D67" t="s">
        <v>501</v>
      </c>
      <c r="E67" t="s">
        <v>502</v>
      </c>
      <c r="F67" t="s">
        <v>503</v>
      </c>
      <c r="G67" t="s">
        <v>504</v>
      </c>
      <c r="H67" t="s">
        <v>21</v>
      </c>
      <c r="I67" t="s">
        <v>22</v>
      </c>
      <c r="J67" t="s">
        <v>322</v>
      </c>
      <c r="K67" t="s">
        <v>505</v>
      </c>
      <c r="L67" t="s">
        <v>506</v>
      </c>
      <c r="M67" t="s">
        <v>507</v>
      </c>
      <c r="N67" t="s">
        <v>21</v>
      </c>
      <c r="O67" t="s">
        <v>508</v>
      </c>
      <c r="P67" t="s">
        <v>1181</v>
      </c>
      <c r="Q67" t="str">
        <f t="shared" ref="Q67:Q130" si="1">IF(ISNUMBER(SEARCH("Calcium channel impairing toxin", P67)), "Ca", IF(ISNUMBER(SEARCH("Potassium channel impairing toxin",P67)), "K", IF(ISNUMBER(SEARCH("Proton-gated sodium channel impairing toxin", P67)), "Na", IF(ISNUMBER(SEARCH("Voltage-gated sodium channel impairing toxin", P67)), "Na", "Other"))))</f>
        <v>Other</v>
      </c>
      <c r="R67" s="1" t="s">
        <v>1232</v>
      </c>
    </row>
    <row r="68" spans="1:18" x14ac:dyDescent="0.2">
      <c r="A68" t="s">
        <v>543</v>
      </c>
      <c r="B68" t="s">
        <v>543</v>
      </c>
      <c r="C68" t="s">
        <v>21</v>
      </c>
      <c r="D68" t="s">
        <v>544</v>
      </c>
      <c r="E68" t="s">
        <v>545</v>
      </c>
      <c r="F68" t="s">
        <v>546</v>
      </c>
      <c r="G68" t="s">
        <v>547</v>
      </c>
      <c r="H68" t="s">
        <v>21</v>
      </c>
      <c r="I68" t="s">
        <v>22</v>
      </c>
      <c r="J68" t="s">
        <v>21</v>
      </c>
      <c r="K68" t="s">
        <v>21</v>
      </c>
      <c r="L68" t="s">
        <v>21</v>
      </c>
      <c r="M68" t="s">
        <v>548</v>
      </c>
      <c r="N68" t="s">
        <v>21</v>
      </c>
      <c r="O68" t="s">
        <v>549</v>
      </c>
      <c r="P68" t="s">
        <v>1182</v>
      </c>
      <c r="Q68" t="str">
        <f t="shared" si="1"/>
        <v>Ca</v>
      </c>
      <c r="R68" s="1" t="s">
        <v>1232</v>
      </c>
    </row>
    <row r="69" spans="1:18" x14ac:dyDescent="0.2">
      <c r="A69" t="s">
        <v>770</v>
      </c>
      <c r="B69" t="s">
        <v>770</v>
      </c>
      <c r="C69" t="s">
        <v>21</v>
      </c>
      <c r="D69" t="s">
        <v>771</v>
      </c>
      <c r="E69" t="s">
        <v>169</v>
      </c>
      <c r="F69" t="s">
        <v>772</v>
      </c>
      <c r="G69" t="s">
        <v>773</v>
      </c>
      <c r="H69" t="s">
        <v>21</v>
      </c>
      <c r="I69" t="s">
        <v>22</v>
      </c>
      <c r="J69" t="s">
        <v>21</v>
      </c>
      <c r="K69" t="s">
        <v>21</v>
      </c>
      <c r="L69" t="s">
        <v>774</v>
      </c>
      <c r="M69" t="s">
        <v>21</v>
      </c>
      <c r="N69" t="s">
        <v>775</v>
      </c>
      <c r="O69" t="s">
        <v>776</v>
      </c>
      <c r="P69" t="s">
        <v>1183</v>
      </c>
      <c r="Q69" t="str">
        <f t="shared" si="1"/>
        <v>Na</v>
      </c>
      <c r="R69" s="1" t="s">
        <v>1231</v>
      </c>
    </row>
    <row r="70" spans="1:18" x14ac:dyDescent="0.2">
      <c r="A70" t="s">
        <v>514</v>
      </c>
      <c r="B70" t="s">
        <v>514</v>
      </c>
      <c r="C70" t="s">
        <v>21</v>
      </c>
      <c r="D70" t="s">
        <v>515</v>
      </c>
      <c r="E70" t="s">
        <v>516</v>
      </c>
      <c r="F70" t="s">
        <v>517</v>
      </c>
      <c r="G70" t="s">
        <v>518</v>
      </c>
      <c r="H70" t="s">
        <v>21</v>
      </c>
      <c r="I70" t="s">
        <v>22</v>
      </c>
      <c r="J70" t="s">
        <v>21</v>
      </c>
      <c r="K70" t="s">
        <v>21</v>
      </c>
      <c r="L70" t="s">
        <v>519</v>
      </c>
      <c r="M70" t="s">
        <v>21</v>
      </c>
      <c r="N70" t="s">
        <v>21</v>
      </c>
      <c r="O70" t="s">
        <v>520</v>
      </c>
      <c r="P70" t="s">
        <v>1184</v>
      </c>
      <c r="Q70" t="str">
        <f t="shared" si="1"/>
        <v>Other</v>
      </c>
      <c r="R70" s="1" t="s">
        <v>1232</v>
      </c>
    </row>
    <row r="71" spans="1:18" x14ac:dyDescent="0.2">
      <c r="A71" t="s">
        <v>1115</v>
      </c>
      <c r="B71" t="s">
        <v>1115</v>
      </c>
      <c r="C71" t="s">
        <v>21</v>
      </c>
      <c r="D71" t="s">
        <v>1116</v>
      </c>
      <c r="E71" t="s">
        <v>552</v>
      </c>
      <c r="F71" t="s">
        <v>1117</v>
      </c>
      <c r="G71" t="s">
        <v>1118</v>
      </c>
      <c r="H71" t="s">
        <v>1119</v>
      </c>
      <c r="I71" t="s">
        <v>22</v>
      </c>
      <c r="J71" t="s">
        <v>378</v>
      </c>
      <c r="K71" t="s">
        <v>1120</v>
      </c>
      <c r="L71" t="s">
        <v>21</v>
      </c>
      <c r="M71" t="s">
        <v>1121</v>
      </c>
      <c r="N71" t="s">
        <v>1122</v>
      </c>
      <c r="O71" t="s">
        <v>1123</v>
      </c>
      <c r="P71" t="s">
        <v>1185</v>
      </c>
      <c r="Q71" t="str">
        <f t="shared" si="1"/>
        <v>Na</v>
      </c>
      <c r="R71" s="1" t="s">
        <v>1231</v>
      </c>
    </row>
    <row r="72" spans="1:18" x14ac:dyDescent="0.2">
      <c r="A72" t="s">
        <v>459</v>
      </c>
      <c r="B72" t="s">
        <v>459</v>
      </c>
      <c r="C72" t="s">
        <v>21</v>
      </c>
      <c r="D72" t="s">
        <v>460</v>
      </c>
      <c r="E72" t="s">
        <v>461</v>
      </c>
      <c r="F72" t="s">
        <v>462</v>
      </c>
      <c r="G72" t="s">
        <v>463</v>
      </c>
      <c r="H72" t="s">
        <v>21</v>
      </c>
      <c r="I72" t="s">
        <v>22</v>
      </c>
      <c r="J72" t="s">
        <v>21</v>
      </c>
      <c r="K72" t="s">
        <v>21</v>
      </c>
      <c r="L72" t="s">
        <v>21</v>
      </c>
      <c r="M72" t="s">
        <v>464</v>
      </c>
      <c r="N72" t="s">
        <v>21</v>
      </c>
      <c r="O72" t="s">
        <v>465</v>
      </c>
      <c r="P72" t="s">
        <v>1186</v>
      </c>
      <c r="Q72" t="str">
        <f t="shared" si="1"/>
        <v>Other</v>
      </c>
      <c r="R72" s="1" t="s">
        <v>1232</v>
      </c>
    </row>
    <row r="73" spans="1:18" x14ac:dyDescent="0.2">
      <c r="A73" t="s">
        <v>1094</v>
      </c>
      <c r="B73" t="s">
        <v>1094</v>
      </c>
      <c r="C73" t="s">
        <v>21</v>
      </c>
      <c r="D73" t="s">
        <v>1095</v>
      </c>
      <c r="E73" t="s">
        <v>30</v>
      </c>
      <c r="F73" t="s">
        <v>1096</v>
      </c>
      <c r="G73" t="s">
        <v>1097</v>
      </c>
      <c r="H73" t="s">
        <v>21</v>
      </c>
      <c r="I73" t="s">
        <v>22</v>
      </c>
      <c r="J73" t="s">
        <v>21</v>
      </c>
      <c r="K73" t="s">
        <v>21</v>
      </c>
      <c r="L73" t="s">
        <v>1098</v>
      </c>
      <c r="M73" t="s">
        <v>21</v>
      </c>
      <c r="N73" t="s">
        <v>1099</v>
      </c>
      <c r="O73" t="s">
        <v>1100</v>
      </c>
      <c r="P73" t="s">
        <v>1187</v>
      </c>
      <c r="Q73" t="str">
        <f t="shared" si="1"/>
        <v>Na</v>
      </c>
      <c r="R73" s="1" t="s">
        <v>1231</v>
      </c>
    </row>
    <row r="74" spans="1:18" x14ac:dyDescent="0.2">
      <c r="A74" t="s">
        <v>406</v>
      </c>
      <c r="B74" t="s">
        <v>406</v>
      </c>
      <c r="C74" t="s">
        <v>21</v>
      </c>
      <c r="D74" t="s">
        <v>407</v>
      </c>
      <c r="E74" t="s">
        <v>408</v>
      </c>
      <c r="F74" t="s">
        <v>401</v>
      </c>
      <c r="G74" t="s">
        <v>409</v>
      </c>
      <c r="H74" t="s">
        <v>21</v>
      </c>
      <c r="I74" t="s">
        <v>410</v>
      </c>
      <c r="J74" t="s">
        <v>21</v>
      </c>
      <c r="K74" t="s">
        <v>21</v>
      </c>
      <c r="L74" t="s">
        <v>21</v>
      </c>
      <c r="M74" t="s">
        <v>21</v>
      </c>
      <c r="N74" t="s">
        <v>21</v>
      </c>
      <c r="O74" t="s">
        <v>411</v>
      </c>
      <c r="P74" t="s">
        <v>1188</v>
      </c>
      <c r="Q74" t="str">
        <f t="shared" si="1"/>
        <v>Other</v>
      </c>
      <c r="R74" s="1" t="s">
        <v>1232</v>
      </c>
    </row>
    <row r="75" spans="1:18" x14ac:dyDescent="0.2">
      <c r="A75" t="s">
        <v>183</v>
      </c>
      <c r="B75" t="s">
        <v>183</v>
      </c>
      <c r="C75" t="s">
        <v>21</v>
      </c>
      <c r="D75" t="s">
        <v>184</v>
      </c>
      <c r="E75" t="s">
        <v>40</v>
      </c>
      <c r="F75" t="s">
        <v>185</v>
      </c>
      <c r="G75" t="s">
        <v>186</v>
      </c>
      <c r="H75" t="s">
        <v>21</v>
      </c>
      <c r="I75" t="s">
        <v>22</v>
      </c>
      <c r="J75" t="s">
        <v>33</v>
      </c>
      <c r="K75" t="s">
        <v>187</v>
      </c>
      <c r="L75" t="s">
        <v>188</v>
      </c>
      <c r="M75" t="s">
        <v>21</v>
      </c>
      <c r="N75" t="s">
        <v>189</v>
      </c>
      <c r="O75" t="s">
        <v>190</v>
      </c>
      <c r="P75" t="s">
        <v>1189</v>
      </c>
      <c r="Q75" t="str">
        <f t="shared" si="1"/>
        <v>Ca</v>
      </c>
      <c r="R75" s="1" t="s">
        <v>1232</v>
      </c>
    </row>
    <row r="76" spans="1:18" x14ac:dyDescent="0.2">
      <c r="A76" t="s">
        <v>412</v>
      </c>
      <c r="B76" t="s">
        <v>412</v>
      </c>
      <c r="C76" t="s">
        <v>21</v>
      </c>
      <c r="D76" t="s">
        <v>413</v>
      </c>
      <c r="E76" t="s">
        <v>414</v>
      </c>
      <c r="F76" t="s">
        <v>415</v>
      </c>
      <c r="G76" t="s">
        <v>416</v>
      </c>
      <c r="H76" t="s">
        <v>21</v>
      </c>
      <c r="I76" t="s">
        <v>417</v>
      </c>
      <c r="J76" t="s">
        <v>21</v>
      </c>
      <c r="K76" t="s">
        <v>21</v>
      </c>
      <c r="L76" t="s">
        <v>21</v>
      </c>
      <c r="M76" t="s">
        <v>21</v>
      </c>
      <c r="N76" t="s">
        <v>21</v>
      </c>
      <c r="O76" t="s">
        <v>418</v>
      </c>
      <c r="P76" t="s">
        <v>1190</v>
      </c>
      <c r="Q76" t="str">
        <f t="shared" si="1"/>
        <v>Other</v>
      </c>
      <c r="R76" s="1" t="s">
        <v>1232</v>
      </c>
    </row>
    <row r="77" spans="1:18" x14ac:dyDescent="0.2">
      <c r="A77" t="s">
        <v>719</v>
      </c>
      <c r="B77" t="s">
        <v>719</v>
      </c>
      <c r="C77" t="s">
        <v>21</v>
      </c>
      <c r="D77" t="s">
        <v>720</v>
      </c>
      <c r="E77" t="s">
        <v>493</v>
      </c>
      <c r="F77" t="s">
        <v>721</v>
      </c>
      <c r="G77" t="s">
        <v>722</v>
      </c>
      <c r="H77" t="s">
        <v>21</v>
      </c>
      <c r="I77" t="s">
        <v>22</v>
      </c>
      <c r="J77" t="s">
        <v>33</v>
      </c>
      <c r="K77" t="s">
        <v>723</v>
      </c>
      <c r="L77" t="s">
        <v>724</v>
      </c>
      <c r="M77" t="s">
        <v>725</v>
      </c>
      <c r="N77" t="s">
        <v>726</v>
      </c>
      <c r="O77" t="s">
        <v>727</v>
      </c>
      <c r="P77" t="s">
        <v>1191</v>
      </c>
      <c r="Q77" t="str">
        <f t="shared" si="1"/>
        <v>K</v>
      </c>
      <c r="R77" s="1" t="s">
        <v>1230</v>
      </c>
    </row>
    <row r="78" spans="1:18" x14ac:dyDescent="0.2">
      <c r="A78" t="s">
        <v>233</v>
      </c>
      <c r="B78" t="s">
        <v>233</v>
      </c>
      <c r="C78" t="s">
        <v>21</v>
      </c>
      <c r="D78" t="s">
        <v>234</v>
      </c>
      <c r="E78" t="s">
        <v>235</v>
      </c>
      <c r="F78" t="s">
        <v>236</v>
      </c>
      <c r="G78" t="s">
        <v>237</v>
      </c>
      <c r="H78" t="s">
        <v>21</v>
      </c>
      <c r="I78" t="s">
        <v>22</v>
      </c>
      <c r="J78" t="s">
        <v>33</v>
      </c>
      <c r="K78" t="s">
        <v>238</v>
      </c>
      <c r="L78" t="s">
        <v>239</v>
      </c>
      <c r="M78" t="s">
        <v>21</v>
      </c>
      <c r="N78" t="s">
        <v>240</v>
      </c>
      <c r="O78" t="s">
        <v>241</v>
      </c>
      <c r="P78" t="s">
        <v>1164</v>
      </c>
      <c r="Q78" t="str">
        <f t="shared" si="1"/>
        <v>Ca</v>
      </c>
      <c r="R78" s="1" t="s">
        <v>1232</v>
      </c>
    </row>
    <row r="79" spans="1:18" x14ac:dyDescent="0.2">
      <c r="A79" t="s">
        <v>301</v>
      </c>
      <c r="B79" t="s">
        <v>301</v>
      </c>
      <c r="C79" t="s">
        <v>21</v>
      </c>
      <c r="D79" t="s">
        <v>302</v>
      </c>
      <c r="E79" t="s">
        <v>30</v>
      </c>
      <c r="F79" t="s">
        <v>303</v>
      </c>
      <c r="G79" t="s">
        <v>304</v>
      </c>
      <c r="H79" t="s">
        <v>305</v>
      </c>
      <c r="I79" t="s">
        <v>22</v>
      </c>
      <c r="J79" t="s">
        <v>33</v>
      </c>
      <c r="K79" t="s">
        <v>306</v>
      </c>
      <c r="L79" t="s">
        <v>307</v>
      </c>
      <c r="M79" t="s">
        <v>21</v>
      </c>
      <c r="N79" t="s">
        <v>308</v>
      </c>
      <c r="O79" t="s">
        <v>309</v>
      </c>
      <c r="P79" t="s">
        <v>1192</v>
      </c>
      <c r="Q79" t="str">
        <f t="shared" si="1"/>
        <v>Ca</v>
      </c>
      <c r="R79" s="1" t="s">
        <v>1232</v>
      </c>
    </row>
    <row r="80" spans="1:18" x14ac:dyDescent="0.2">
      <c r="A80" t="s">
        <v>973</v>
      </c>
      <c r="B80" t="s">
        <v>973</v>
      </c>
      <c r="C80" t="s">
        <v>21</v>
      </c>
      <c r="D80" t="s">
        <v>974</v>
      </c>
      <c r="E80" t="s">
        <v>493</v>
      </c>
      <c r="F80" t="s">
        <v>975</v>
      </c>
      <c r="G80" t="s">
        <v>976</v>
      </c>
      <c r="H80" t="s">
        <v>21</v>
      </c>
      <c r="I80" t="s">
        <v>22</v>
      </c>
      <c r="J80" t="s">
        <v>33</v>
      </c>
      <c r="K80" t="s">
        <v>977</v>
      </c>
      <c r="L80" t="s">
        <v>978</v>
      </c>
      <c r="M80" t="s">
        <v>979</v>
      </c>
      <c r="N80" t="s">
        <v>980</v>
      </c>
      <c r="O80" t="s">
        <v>981</v>
      </c>
      <c r="P80" t="s">
        <v>1193</v>
      </c>
      <c r="Q80" t="str">
        <f t="shared" si="1"/>
        <v>Na</v>
      </c>
      <c r="R80" s="1" t="s">
        <v>1231</v>
      </c>
    </row>
    <row r="81" spans="1:18" x14ac:dyDescent="0.2">
      <c r="A81" t="s">
        <v>242</v>
      </c>
      <c r="B81" t="s">
        <v>242</v>
      </c>
      <c r="C81" t="s">
        <v>21</v>
      </c>
      <c r="D81" t="s">
        <v>243</v>
      </c>
      <c r="E81" t="s">
        <v>244</v>
      </c>
      <c r="F81" t="s">
        <v>245</v>
      </c>
      <c r="G81" t="s">
        <v>246</v>
      </c>
      <c r="H81" t="s">
        <v>21</v>
      </c>
      <c r="I81" t="s">
        <v>22</v>
      </c>
      <c r="J81" t="s">
        <v>21</v>
      </c>
      <c r="K81" t="s">
        <v>21</v>
      </c>
      <c r="L81" t="s">
        <v>247</v>
      </c>
      <c r="M81" t="s">
        <v>21</v>
      </c>
      <c r="N81" t="s">
        <v>248</v>
      </c>
      <c r="O81" t="s">
        <v>21</v>
      </c>
      <c r="P81" t="s">
        <v>1139</v>
      </c>
      <c r="Q81" t="str">
        <f t="shared" si="1"/>
        <v>Ca</v>
      </c>
      <c r="R81" s="1" t="s">
        <v>1232</v>
      </c>
    </row>
    <row r="82" spans="1:18" x14ac:dyDescent="0.2">
      <c r="A82" t="s">
        <v>285</v>
      </c>
      <c r="B82" t="s">
        <v>285</v>
      </c>
      <c r="C82" t="s">
        <v>21</v>
      </c>
      <c r="D82" t="s">
        <v>286</v>
      </c>
      <c r="E82" t="s">
        <v>287</v>
      </c>
      <c r="F82" t="s">
        <v>288</v>
      </c>
      <c r="G82" t="s">
        <v>289</v>
      </c>
      <c r="H82" t="s">
        <v>21</v>
      </c>
      <c r="I82" t="s">
        <v>22</v>
      </c>
      <c r="J82" t="s">
        <v>21</v>
      </c>
      <c r="K82" t="s">
        <v>21</v>
      </c>
      <c r="L82" t="s">
        <v>290</v>
      </c>
      <c r="M82" t="s">
        <v>21</v>
      </c>
      <c r="N82" t="s">
        <v>291</v>
      </c>
      <c r="O82" t="s">
        <v>292</v>
      </c>
      <c r="P82" t="s">
        <v>1194</v>
      </c>
      <c r="Q82" t="str">
        <f t="shared" si="1"/>
        <v>Ca</v>
      </c>
      <c r="R82" s="1" t="s">
        <v>1232</v>
      </c>
    </row>
    <row r="83" spans="1:18" x14ac:dyDescent="0.2">
      <c r="A83" t="s">
        <v>159</v>
      </c>
      <c r="B83" t="s">
        <v>159</v>
      </c>
      <c r="C83" t="s">
        <v>21</v>
      </c>
      <c r="D83" t="s">
        <v>160</v>
      </c>
      <c r="E83" t="s">
        <v>161</v>
      </c>
      <c r="F83" t="s">
        <v>162</v>
      </c>
      <c r="G83" t="s">
        <v>163</v>
      </c>
      <c r="H83" t="s">
        <v>21</v>
      </c>
      <c r="I83" t="s">
        <v>22</v>
      </c>
      <c r="J83" t="s">
        <v>33</v>
      </c>
      <c r="K83" t="s">
        <v>164</v>
      </c>
      <c r="L83" t="s">
        <v>165</v>
      </c>
      <c r="M83" t="s">
        <v>21</v>
      </c>
      <c r="N83" t="s">
        <v>132</v>
      </c>
      <c r="O83" t="s">
        <v>166</v>
      </c>
      <c r="P83" t="s">
        <v>1164</v>
      </c>
      <c r="Q83" t="str">
        <f t="shared" si="1"/>
        <v>Ca</v>
      </c>
      <c r="R83" s="1" t="s">
        <v>1232</v>
      </c>
    </row>
    <row r="84" spans="1:18" x14ac:dyDescent="0.2">
      <c r="A84" t="s">
        <v>249</v>
      </c>
      <c r="B84" t="s">
        <v>249</v>
      </c>
      <c r="C84" t="s">
        <v>21</v>
      </c>
      <c r="D84" t="s">
        <v>250</v>
      </c>
      <c r="E84" t="s">
        <v>161</v>
      </c>
      <c r="F84" t="s">
        <v>251</v>
      </c>
      <c r="G84" t="s">
        <v>252</v>
      </c>
      <c r="H84" t="s">
        <v>21</v>
      </c>
      <c r="I84" t="s">
        <v>22</v>
      </c>
      <c r="J84" t="s">
        <v>21</v>
      </c>
      <c r="K84" t="s">
        <v>21</v>
      </c>
      <c r="L84" t="s">
        <v>253</v>
      </c>
      <c r="M84" t="s">
        <v>21</v>
      </c>
      <c r="N84" t="s">
        <v>254</v>
      </c>
      <c r="O84" t="s">
        <v>166</v>
      </c>
      <c r="P84" t="s">
        <v>1141</v>
      </c>
      <c r="Q84" t="str">
        <f t="shared" si="1"/>
        <v>Ca</v>
      </c>
      <c r="R84" s="1" t="s">
        <v>1232</v>
      </c>
    </row>
    <row r="85" spans="1:18" x14ac:dyDescent="0.2">
      <c r="A85" t="s">
        <v>255</v>
      </c>
      <c r="B85" t="s">
        <v>255</v>
      </c>
      <c r="C85" t="s">
        <v>21</v>
      </c>
      <c r="D85" t="s">
        <v>256</v>
      </c>
      <c r="E85" t="s">
        <v>161</v>
      </c>
      <c r="F85" t="s">
        <v>257</v>
      </c>
      <c r="G85" t="s">
        <v>258</v>
      </c>
      <c r="H85" t="s">
        <v>21</v>
      </c>
      <c r="I85" t="s">
        <v>22</v>
      </c>
      <c r="J85" t="s">
        <v>21</v>
      </c>
      <c r="K85" t="s">
        <v>21</v>
      </c>
      <c r="L85" t="s">
        <v>259</v>
      </c>
      <c r="M85" t="s">
        <v>21</v>
      </c>
      <c r="N85" t="s">
        <v>260</v>
      </c>
      <c r="O85" t="s">
        <v>261</v>
      </c>
      <c r="P85" t="s">
        <v>1141</v>
      </c>
      <c r="Q85" t="str">
        <f t="shared" si="1"/>
        <v>Ca</v>
      </c>
      <c r="R85" s="1" t="s">
        <v>1232</v>
      </c>
    </row>
    <row r="86" spans="1:18" x14ac:dyDescent="0.2">
      <c r="A86" t="s">
        <v>191</v>
      </c>
      <c r="B86" t="s">
        <v>191</v>
      </c>
      <c r="C86" t="s">
        <v>21</v>
      </c>
      <c r="D86" t="s">
        <v>192</v>
      </c>
      <c r="E86" t="s">
        <v>161</v>
      </c>
      <c r="F86" t="s">
        <v>193</v>
      </c>
      <c r="G86" t="s">
        <v>194</v>
      </c>
      <c r="H86" t="s">
        <v>21</v>
      </c>
      <c r="I86" t="s">
        <v>22</v>
      </c>
      <c r="J86" t="s">
        <v>33</v>
      </c>
      <c r="K86" t="s">
        <v>195</v>
      </c>
      <c r="L86" t="s">
        <v>196</v>
      </c>
      <c r="M86" t="s">
        <v>21</v>
      </c>
      <c r="N86" t="s">
        <v>197</v>
      </c>
      <c r="O86" t="s">
        <v>198</v>
      </c>
      <c r="P86" t="s">
        <v>1195</v>
      </c>
      <c r="Q86" t="str">
        <f t="shared" si="1"/>
        <v>Ca</v>
      </c>
      <c r="R86" s="1" t="s">
        <v>1232</v>
      </c>
    </row>
    <row r="87" spans="1:18" x14ac:dyDescent="0.2">
      <c r="A87" t="s">
        <v>762</v>
      </c>
      <c r="B87" t="s">
        <v>762</v>
      </c>
      <c r="C87" t="s">
        <v>21</v>
      </c>
      <c r="D87" t="s">
        <v>763</v>
      </c>
      <c r="E87" t="s">
        <v>516</v>
      </c>
      <c r="F87" t="s">
        <v>764</v>
      </c>
      <c r="G87" t="s">
        <v>765</v>
      </c>
      <c r="H87" t="s">
        <v>21</v>
      </c>
      <c r="I87" t="s">
        <v>22</v>
      </c>
      <c r="J87" t="s">
        <v>21</v>
      </c>
      <c r="K87" t="s">
        <v>21</v>
      </c>
      <c r="L87" t="s">
        <v>766</v>
      </c>
      <c r="M87" t="s">
        <v>767</v>
      </c>
      <c r="N87" t="s">
        <v>768</v>
      </c>
      <c r="O87" t="s">
        <v>769</v>
      </c>
      <c r="P87" t="s">
        <v>1196</v>
      </c>
      <c r="Q87" t="str">
        <f t="shared" si="1"/>
        <v>Na</v>
      </c>
      <c r="R87" s="1" t="s">
        <v>1231</v>
      </c>
    </row>
    <row r="88" spans="1:18" x14ac:dyDescent="0.2">
      <c r="A88" t="s">
        <v>876</v>
      </c>
      <c r="B88" t="s">
        <v>876</v>
      </c>
      <c r="C88" t="s">
        <v>21</v>
      </c>
      <c r="D88" t="s">
        <v>877</v>
      </c>
      <c r="E88" t="s">
        <v>493</v>
      </c>
      <c r="F88" t="s">
        <v>878</v>
      </c>
      <c r="G88" t="s">
        <v>879</v>
      </c>
      <c r="H88" t="s">
        <v>21</v>
      </c>
      <c r="I88" t="s">
        <v>22</v>
      </c>
      <c r="J88" t="s">
        <v>378</v>
      </c>
      <c r="K88" t="s">
        <v>880</v>
      </c>
      <c r="L88" t="s">
        <v>881</v>
      </c>
      <c r="M88" t="s">
        <v>882</v>
      </c>
      <c r="N88" t="s">
        <v>883</v>
      </c>
      <c r="O88" t="s">
        <v>884</v>
      </c>
      <c r="P88" t="s">
        <v>1197</v>
      </c>
      <c r="Q88" t="str">
        <f t="shared" si="1"/>
        <v>Na</v>
      </c>
      <c r="R88" s="1" t="s">
        <v>1231</v>
      </c>
    </row>
    <row r="89" spans="1:18" x14ac:dyDescent="0.2">
      <c r="A89" t="s">
        <v>1078</v>
      </c>
      <c r="B89" t="s">
        <v>1078</v>
      </c>
      <c r="C89" t="s">
        <v>21</v>
      </c>
      <c r="D89" t="s">
        <v>1079</v>
      </c>
      <c r="E89" t="s">
        <v>235</v>
      </c>
      <c r="F89" t="s">
        <v>1080</v>
      </c>
      <c r="G89" t="s">
        <v>1081</v>
      </c>
      <c r="H89" t="s">
        <v>21</v>
      </c>
      <c r="I89" t="s">
        <v>22</v>
      </c>
      <c r="J89" t="s">
        <v>565</v>
      </c>
      <c r="K89" t="s">
        <v>1082</v>
      </c>
      <c r="L89" t="s">
        <v>1083</v>
      </c>
      <c r="M89" t="s">
        <v>1084</v>
      </c>
      <c r="N89" t="s">
        <v>21</v>
      </c>
      <c r="O89" t="s">
        <v>1085</v>
      </c>
      <c r="P89" t="s">
        <v>1198</v>
      </c>
      <c r="Q89" t="str">
        <f t="shared" si="1"/>
        <v>Na</v>
      </c>
      <c r="R89" s="1" t="s">
        <v>1231</v>
      </c>
    </row>
    <row r="90" spans="1:18" x14ac:dyDescent="0.2">
      <c r="A90" t="s">
        <v>990</v>
      </c>
      <c r="B90" t="s">
        <v>990</v>
      </c>
      <c r="C90" t="s">
        <v>21</v>
      </c>
      <c r="D90" t="s">
        <v>991</v>
      </c>
      <c r="E90" t="s">
        <v>359</v>
      </c>
      <c r="F90" t="s">
        <v>992</v>
      </c>
      <c r="G90" t="s">
        <v>993</v>
      </c>
      <c r="H90" t="s">
        <v>21</v>
      </c>
      <c r="I90" t="s">
        <v>22</v>
      </c>
      <c r="J90" t="s">
        <v>21</v>
      </c>
      <c r="K90" t="s">
        <v>21</v>
      </c>
      <c r="L90" t="s">
        <v>994</v>
      </c>
      <c r="M90" t="s">
        <v>21</v>
      </c>
      <c r="N90" t="s">
        <v>995</v>
      </c>
      <c r="O90" t="s">
        <v>996</v>
      </c>
      <c r="P90" t="s">
        <v>1199</v>
      </c>
      <c r="Q90" t="str">
        <f t="shared" si="1"/>
        <v>Na</v>
      </c>
      <c r="R90" s="1" t="s">
        <v>1231</v>
      </c>
    </row>
    <row r="91" spans="1:18" x14ac:dyDescent="0.2">
      <c r="A91" t="s">
        <v>885</v>
      </c>
      <c r="B91" t="s">
        <v>885</v>
      </c>
      <c r="C91" t="s">
        <v>16</v>
      </c>
      <c r="D91" t="s">
        <v>886</v>
      </c>
      <c r="E91" t="s">
        <v>598</v>
      </c>
      <c r="F91" t="s">
        <v>887</v>
      </c>
      <c r="G91" t="s">
        <v>888</v>
      </c>
      <c r="H91" t="s">
        <v>21</v>
      </c>
      <c r="I91" t="s">
        <v>22</v>
      </c>
      <c r="J91" t="s">
        <v>21</v>
      </c>
      <c r="K91" t="s">
        <v>889</v>
      </c>
      <c r="L91" t="s">
        <v>890</v>
      </c>
      <c r="M91" t="s">
        <v>891</v>
      </c>
      <c r="N91" t="s">
        <v>892</v>
      </c>
      <c r="O91" t="s">
        <v>893</v>
      </c>
      <c r="P91" t="s">
        <v>1200</v>
      </c>
      <c r="Q91" t="str">
        <f t="shared" si="1"/>
        <v>Na</v>
      </c>
      <c r="R91" s="1" t="s">
        <v>1231</v>
      </c>
    </row>
    <row r="92" spans="1:18" x14ac:dyDescent="0.2">
      <c r="A92" t="s">
        <v>1020</v>
      </c>
      <c r="B92" t="s">
        <v>1020</v>
      </c>
      <c r="C92" t="s">
        <v>21</v>
      </c>
      <c r="D92" t="s">
        <v>1021</v>
      </c>
      <c r="E92" t="s">
        <v>476</v>
      </c>
      <c r="F92" t="s">
        <v>1022</v>
      </c>
      <c r="G92" t="s">
        <v>1023</v>
      </c>
      <c r="H92" t="s">
        <v>21</v>
      </c>
      <c r="I92" t="s">
        <v>22</v>
      </c>
      <c r="J92" t="s">
        <v>21</v>
      </c>
      <c r="K92" t="s">
        <v>21</v>
      </c>
      <c r="L92" t="s">
        <v>1024</v>
      </c>
      <c r="M92" t="s">
        <v>21</v>
      </c>
      <c r="N92" t="s">
        <v>1025</v>
      </c>
      <c r="O92" t="s">
        <v>1026</v>
      </c>
      <c r="P92" t="s">
        <v>1201</v>
      </c>
      <c r="Q92" t="str">
        <f t="shared" si="1"/>
        <v>Na</v>
      </c>
      <c r="R92" s="1" t="s">
        <v>1231</v>
      </c>
    </row>
    <row r="93" spans="1:18" x14ac:dyDescent="0.2">
      <c r="A93" t="s">
        <v>335</v>
      </c>
      <c r="B93" t="s">
        <v>335</v>
      </c>
      <c r="C93" t="s">
        <v>21</v>
      </c>
      <c r="D93" t="s">
        <v>336</v>
      </c>
      <c r="E93" t="s">
        <v>144</v>
      </c>
      <c r="F93" t="s">
        <v>337</v>
      </c>
      <c r="G93" t="s">
        <v>338</v>
      </c>
      <c r="H93" t="s">
        <v>21</v>
      </c>
      <c r="I93" t="s">
        <v>22</v>
      </c>
      <c r="J93" t="s">
        <v>331</v>
      </c>
      <c r="K93" t="s">
        <v>339</v>
      </c>
      <c r="L93" t="s">
        <v>340</v>
      </c>
      <c r="M93" t="s">
        <v>21</v>
      </c>
      <c r="N93" t="s">
        <v>341</v>
      </c>
      <c r="O93" t="s">
        <v>342</v>
      </c>
      <c r="P93" t="s">
        <v>1202</v>
      </c>
      <c r="Q93" t="str">
        <f t="shared" si="1"/>
        <v>Ca</v>
      </c>
      <c r="R93" s="1" t="s">
        <v>1232</v>
      </c>
    </row>
    <row r="94" spans="1:18" x14ac:dyDescent="0.2">
      <c r="A94" t="s">
        <v>559</v>
      </c>
      <c r="B94" t="s">
        <v>559</v>
      </c>
      <c r="C94" t="s">
        <v>21</v>
      </c>
      <c r="D94" t="s">
        <v>560</v>
      </c>
      <c r="E94" t="s">
        <v>561</v>
      </c>
      <c r="F94" t="s">
        <v>562</v>
      </c>
      <c r="G94" t="s">
        <v>563</v>
      </c>
      <c r="H94" t="s">
        <v>564</v>
      </c>
      <c r="I94" t="s">
        <v>22</v>
      </c>
      <c r="J94" t="s">
        <v>565</v>
      </c>
      <c r="K94" t="s">
        <v>566</v>
      </c>
      <c r="L94" t="s">
        <v>567</v>
      </c>
      <c r="M94" t="s">
        <v>21</v>
      </c>
      <c r="N94" t="s">
        <v>568</v>
      </c>
      <c r="O94" t="s">
        <v>569</v>
      </c>
      <c r="P94" t="s">
        <v>1203</v>
      </c>
      <c r="Q94" t="str">
        <f t="shared" si="1"/>
        <v>Ca</v>
      </c>
      <c r="R94" s="1" t="s">
        <v>1232</v>
      </c>
    </row>
    <row r="95" spans="1:18" x14ac:dyDescent="0.2">
      <c r="A95" t="s">
        <v>620</v>
      </c>
      <c r="B95" t="s">
        <v>620</v>
      </c>
      <c r="C95" t="s">
        <v>21</v>
      </c>
      <c r="D95" t="s">
        <v>621</v>
      </c>
      <c r="E95" t="s">
        <v>622</v>
      </c>
      <c r="F95" t="s">
        <v>623</v>
      </c>
      <c r="G95" t="s">
        <v>624</v>
      </c>
      <c r="H95" t="s">
        <v>21</v>
      </c>
      <c r="I95" t="s">
        <v>22</v>
      </c>
      <c r="J95" t="s">
        <v>496</v>
      </c>
      <c r="K95" t="s">
        <v>625</v>
      </c>
      <c r="L95" t="s">
        <v>21</v>
      </c>
      <c r="M95" t="s">
        <v>21</v>
      </c>
      <c r="N95" t="s">
        <v>626</v>
      </c>
      <c r="O95" t="s">
        <v>627</v>
      </c>
      <c r="P95" t="s">
        <v>1204</v>
      </c>
      <c r="Q95" t="str">
        <f t="shared" si="1"/>
        <v>K</v>
      </c>
      <c r="R95" s="1" t="s">
        <v>1230</v>
      </c>
    </row>
    <row r="96" spans="1:18" x14ac:dyDescent="0.2">
      <c r="A96" t="s">
        <v>997</v>
      </c>
      <c r="B96" t="s">
        <v>997</v>
      </c>
      <c r="C96" t="s">
        <v>21</v>
      </c>
      <c r="D96" t="s">
        <v>998</v>
      </c>
      <c r="E96" t="s">
        <v>999</v>
      </c>
      <c r="F96" t="s">
        <v>1000</v>
      </c>
      <c r="G96" t="s">
        <v>1001</v>
      </c>
      <c r="H96" t="s">
        <v>21</v>
      </c>
      <c r="I96" t="s">
        <v>22</v>
      </c>
      <c r="J96" t="s">
        <v>33</v>
      </c>
      <c r="K96" t="s">
        <v>1002</v>
      </c>
      <c r="L96" t="s">
        <v>1003</v>
      </c>
      <c r="M96" t="s">
        <v>21</v>
      </c>
      <c r="N96" t="s">
        <v>397</v>
      </c>
      <c r="O96" t="s">
        <v>1004</v>
      </c>
      <c r="P96" t="s">
        <v>1205</v>
      </c>
      <c r="Q96" t="str">
        <f t="shared" si="1"/>
        <v>Na</v>
      </c>
      <c r="R96" s="1" t="s">
        <v>1231</v>
      </c>
    </row>
    <row r="97" spans="1:18" x14ac:dyDescent="0.2">
      <c r="A97" t="s">
        <v>1005</v>
      </c>
      <c r="B97" t="s">
        <v>1005</v>
      </c>
      <c r="C97" t="s">
        <v>21</v>
      </c>
      <c r="D97" t="s">
        <v>1006</v>
      </c>
      <c r="E97" t="s">
        <v>264</v>
      </c>
      <c r="F97" t="s">
        <v>1007</v>
      </c>
      <c r="G97" t="s">
        <v>1008</v>
      </c>
      <c r="H97" t="s">
        <v>1009</v>
      </c>
      <c r="I97" t="s">
        <v>22</v>
      </c>
      <c r="J97" t="s">
        <v>33</v>
      </c>
      <c r="K97" t="s">
        <v>1010</v>
      </c>
      <c r="L97" t="s">
        <v>1011</v>
      </c>
      <c r="M97" t="s">
        <v>21</v>
      </c>
      <c r="N97" t="s">
        <v>397</v>
      </c>
      <c r="O97" t="s">
        <v>1012</v>
      </c>
      <c r="P97" t="s">
        <v>1205</v>
      </c>
      <c r="Q97" t="str">
        <f t="shared" si="1"/>
        <v>Na</v>
      </c>
      <c r="R97" s="1" t="s">
        <v>1231</v>
      </c>
    </row>
    <row r="98" spans="1:18" x14ac:dyDescent="0.2">
      <c r="A98" t="s">
        <v>1013</v>
      </c>
      <c r="B98" t="s">
        <v>1013</v>
      </c>
      <c r="C98" t="s">
        <v>21</v>
      </c>
      <c r="D98" t="s">
        <v>1014</v>
      </c>
      <c r="E98" t="s">
        <v>287</v>
      </c>
      <c r="F98" t="s">
        <v>1015</v>
      </c>
      <c r="G98" t="s">
        <v>1016</v>
      </c>
      <c r="H98" t="s">
        <v>21</v>
      </c>
      <c r="I98" t="s">
        <v>22</v>
      </c>
      <c r="J98" t="s">
        <v>33</v>
      </c>
      <c r="K98" t="s">
        <v>1017</v>
      </c>
      <c r="L98" t="s">
        <v>1018</v>
      </c>
      <c r="M98" t="s">
        <v>21</v>
      </c>
      <c r="N98" t="s">
        <v>959</v>
      </c>
      <c r="O98" t="s">
        <v>1019</v>
      </c>
      <c r="P98" t="s">
        <v>1206</v>
      </c>
      <c r="Q98" t="str">
        <f t="shared" si="1"/>
        <v>Na</v>
      </c>
      <c r="R98" s="1" t="s">
        <v>1231</v>
      </c>
    </row>
    <row r="99" spans="1:18" x14ac:dyDescent="0.2">
      <c r="A99" t="s">
        <v>1036</v>
      </c>
      <c r="B99" t="s">
        <v>1036</v>
      </c>
      <c r="C99" t="s">
        <v>21</v>
      </c>
      <c r="D99" t="s">
        <v>1037</v>
      </c>
      <c r="E99" t="s">
        <v>209</v>
      </c>
      <c r="F99" t="s">
        <v>1038</v>
      </c>
      <c r="G99" t="s">
        <v>1039</v>
      </c>
      <c r="H99" t="s">
        <v>21</v>
      </c>
      <c r="I99" t="s">
        <v>22</v>
      </c>
      <c r="J99" t="s">
        <v>33</v>
      </c>
      <c r="K99" t="s">
        <v>1040</v>
      </c>
      <c r="L99" t="s">
        <v>1041</v>
      </c>
      <c r="M99" t="s">
        <v>21</v>
      </c>
      <c r="N99" t="s">
        <v>397</v>
      </c>
      <c r="O99" t="s">
        <v>1004</v>
      </c>
      <c r="P99" t="s">
        <v>1207</v>
      </c>
      <c r="Q99" t="str">
        <f t="shared" si="1"/>
        <v>Na</v>
      </c>
      <c r="R99" s="1" t="s">
        <v>1231</v>
      </c>
    </row>
    <row r="100" spans="1:18" x14ac:dyDescent="0.2">
      <c r="A100" t="s">
        <v>1042</v>
      </c>
      <c r="B100" t="s">
        <v>1042</v>
      </c>
      <c r="C100" t="s">
        <v>21</v>
      </c>
      <c r="D100" t="s">
        <v>1043</v>
      </c>
      <c r="E100" t="s">
        <v>209</v>
      </c>
      <c r="F100" t="s">
        <v>1044</v>
      </c>
      <c r="G100" t="s">
        <v>1045</v>
      </c>
      <c r="H100" t="s">
        <v>21</v>
      </c>
      <c r="I100" t="s">
        <v>22</v>
      </c>
      <c r="J100" t="s">
        <v>33</v>
      </c>
      <c r="K100" t="s">
        <v>1046</v>
      </c>
      <c r="L100" t="s">
        <v>1047</v>
      </c>
      <c r="M100" t="s">
        <v>21</v>
      </c>
      <c r="N100" t="s">
        <v>959</v>
      </c>
      <c r="O100" t="s">
        <v>1004</v>
      </c>
      <c r="P100" t="s">
        <v>1205</v>
      </c>
      <c r="Q100" t="str">
        <f t="shared" si="1"/>
        <v>Na</v>
      </c>
      <c r="R100" s="1" t="s">
        <v>1231</v>
      </c>
    </row>
    <row r="101" spans="1:18" x14ac:dyDescent="0.2">
      <c r="A101" t="s">
        <v>704</v>
      </c>
      <c r="B101" t="s">
        <v>704</v>
      </c>
      <c r="C101" t="s">
        <v>21</v>
      </c>
      <c r="D101" t="s">
        <v>705</v>
      </c>
      <c r="E101" t="s">
        <v>244</v>
      </c>
      <c r="F101" t="s">
        <v>706</v>
      </c>
      <c r="G101" t="s">
        <v>707</v>
      </c>
      <c r="H101" t="s">
        <v>21</v>
      </c>
      <c r="I101" t="s">
        <v>22</v>
      </c>
      <c r="J101" t="s">
        <v>378</v>
      </c>
      <c r="K101" t="s">
        <v>708</v>
      </c>
      <c r="L101" t="s">
        <v>709</v>
      </c>
      <c r="M101" t="s">
        <v>21</v>
      </c>
      <c r="N101" t="s">
        <v>710</v>
      </c>
      <c r="O101" t="s">
        <v>711</v>
      </c>
      <c r="P101" t="s">
        <v>1208</v>
      </c>
      <c r="Q101" t="str">
        <f t="shared" si="1"/>
        <v>K</v>
      </c>
      <c r="R101" s="1" t="s">
        <v>1230</v>
      </c>
    </row>
    <row r="102" spans="1:18" x14ac:dyDescent="0.2">
      <c r="A102" t="s">
        <v>374</v>
      </c>
      <c r="B102" t="s">
        <v>374</v>
      </c>
      <c r="C102" t="s">
        <v>21</v>
      </c>
      <c r="D102" t="s">
        <v>375</v>
      </c>
      <c r="E102" t="s">
        <v>30</v>
      </c>
      <c r="F102" t="s">
        <v>376</v>
      </c>
      <c r="G102" t="s">
        <v>377</v>
      </c>
      <c r="H102" t="s">
        <v>21</v>
      </c>
      <c r="I102" t="s">
        <v>22</v>
      </c>
      <c r="J102" t="s">
        <v>378</v>
      </c>
      <c r="K102" t="s">
        <v>379</v>
      </c>
      <c r="L102" t="s">
        <v>380</v>
      </c>
      <c r="M102" t="s">
        <v>381</v>
      </c>
      <c r="N102" t="s">
        <v>382</v>
      </c>
      <c r="O102" t="s">
        <v>383</v>
      </c>
      <c r="P102" t="s">
        <v>1209</v>
      </c>
      <c r="Q102" t="str">
        <f t="shared" si="1"/>
        <v>Ca</v>
      </c>
      <c r="R102" s="1" t="s">
        <v>1232</v>
      </c>
    </row>
    <row r="103" spans="1:18" x14ac:dyDescent="0.2">
      <c r="A103" t="s">
        <v>550</v>
      </c>
      <c r="B103" t="s">
        <v>550</v>
      </c>
      <c r="C103" t="s">
        <v>21</v>
      </c>
      <c r="D103" t="s">
        <v>551</v>
      </c>
      <c r="E103" t="s">
        <v>552</v>
      </c>
      <c r="F103" t="s">
        <v>553</v>
      </c>
      <c r="G103" t="s">
        <v>554</v>
      </c>
      <c r="H103" t="s">
        <v>555</v>
      </c>
      <c r="I103" t="s">
        <v>22</v>
      </c>
      <c r="J103" t="s">
        <v>378</v>
      </c>
      <c r="K103" t="s">
        <v>556</v>
      </c>
      <c r="L103" t="s">
        <v>21</v>
      </c>
      <c r="M103" t="s">
        <v>21</v>
      </c>
      <c r="N103" t="s">
        <v>557</v>
      </c>
      <c r="O103" t="s">
        <v>558</v>
      </c>
      <c r="P103" t="s">
        <v>1210</v>
      </c>
      <c r="Q103" t="str">
        <f t="shared" si="1"/>
        <v>Ca</v>
      </c>
      <c r="R103" s="1" t="s">
        <v>1232</v>
      </c>
    </row>
    <row r="104" spans="1:18" x14ac:dyDescent="0.2">
      <c r="A104" t="s">
        <v>742</v>
      </c>
      <c r="B104" t="s">
        <v>742</v>
      </c>
      <c r="C104" t="s">
        <v>21</v>
      </c>
      <c r="D104" t="s">
        <v>743</v>
      </c>
      <c r="E104" t="s">
        <v>312</v>
      </c>
      <c r="F104" t="s">
        <v>744</v>
      </c>
      <c r="G104" t="s">
        <v>745</v>
      </c>
      <c r="H104" t="s">
        <v>21</v>
      </c>
      <c r="I104" t="s">
        <v>22</v>
      </c>
      <c r="J104" t="s">
        <v>21</v>
      </c>
      <c r="K104" t="s">
        <v>21</v>
      </c>
      <c r="L104" t="s">
        <v>746</v>
      </c>
      <c r="M104" t="s">
        <v>21</v>
      </c>
      <c r="N104" t="s">
        <v>747</v>
      </c>
      <c r="O104" t="s">
        <v>748</v>
      </c>
      <c r="P104" t="s">
        <v>1211</v>
      </c>
      <c r="Q104" t="str">
        <f t="shared" si="1"/>
        <v>K</v>
      </c>
      <c r="R104" s="1" t="s">
        <v>1230</v>
      </c>
    </row>
    <row r="105" spans="1:18" x14ac:dyDescent="0.2">
      <c r="A105" t="s">
        <v>310</v>
      </c>
      <c r="B105" t="s">
        <v>310</v>
      </c>
      <c r="C105" t="s">
        <v>21</v>
      </c>
      <c r="D105" t="s">
        <v>311</v>
      </c>
      <c r="E105" t="s">
        <v>312</v>
      </c>
      <c r="F105" t="s">
        <v>313</v>
      </c>
      <c r="G105" t="s">
        <v>314</v>
      </c>
      <c r="H105" t="s">
        <v>21</v>
      </c>
      <c r="I105" t="s">
        <v>22</v>
      </c>
      <c r="J105" t="s">
        <v>21</v>
      </c>
      <c r="K105" t="s">
        <v>21</v>
      </c>
      <c r="L105" t="s">
        <v>315</v>
      </c>
      <c r="M105" t="s">
        <v>21</v>
      </c>
      <c r="N105" t="s">
        <v>316</v>
      </c>
      <c r="O105" t="s">
        <v>317</v>
      </c>
      <c r="P105" t="s">
        <v>1141</v>
      </c>
      <c r="Q105" t="str">
        <f t="shared" si="1"/>
        <v>Ca</v>
      </c>
      <c r="R105" s="1" t="s">
        <v>1232</v>
      </c>
    </row>
    <row r="106" spans="1:18" x14ac:dyDescent="0.2">
      <c r="A106" t="s">
        <v>712</v>
      </c>
      <c r="B106" t="s">
        <v>712</v>
      </c>
      <c r="C106" t="s">
        <v>21</v>
      </c>
      <c r="D106" t="s">
        <v>713</v>
      </c>
      <c r="E106" t="s">
        <v>714</v>
      </c>
      <c r="F106" t="s">
        <v>715</v>
      </c>
      <c r="G106" t="s">
        <v>716</v>
      </c>
      <c r="H106" t="s">
        <v>21</v>
      </c>
      <c r="I106" t="s">
        <v>22</v>
      </c>
      <c r="J106" t="s">
        <v>21</v>
      </c>
      <c r="K106" t="s">
        <v>21</v>
      </c>
      <c r="L106" t="s">
        <v>717</v>
      </c>
      <c r="M106" t="s">
        <v>21</v>
      </c>
      <c r="N106" t="s">
        <v>21</v>
      </c>
      <c r="O106" t="s">
        <v>718</v>
      </c>
      <c r="P106" t="s">
        <v>1212</v>
      </c>
      <c r="Q106" t="str">
        <f t="shared" si="1"/>
        <v>K</v>
      </c>
      <c r="R106" s="1" t="s">
        <v>1230</v>
      </c>
    </row>
    <row r="107" spans="1:18" x14ac:dyDescent="0.2">
      <c r="A107" t="s">
        <v>419</v>
      </c>
      <c r="B107" t="s">
        <v>419</v>
      </c>
      <c r="C107" t="s">
        <v>21</v>
      </c>
      <c r="D107" t="s">
        <v>420</v>
      </c>
      <c r="E107" t="s">
        <v>408</v>
      </c>
      <c r="F107" t="s">
        <v>421</v>
      </c>
      <c r="G107" t="s">
        <v>422</v>
      </c>
      <c r="H107" t="s">
        <v>21</v>
      </c>
      <c r="I107" t="s">
        <v>22</v>
      </c>
      <c r="J107" t="s">
        <v>21</v>
      </c>
      <c r="K107" t="s">
        <v>21</v>
      </c>
      <c r="L107" t="s">
        <v>21</v>
      </c>
      <c r="M107" t="s">
        <v>423</v>
      </c>
      <c r="N107" t="s">
        <v>21</v>
      </c>
      <c r="O107" t="s">
        <v>424</v>
      </c>
      <c r="P107" t="s">
        <v>1213</v>
      </c>
      <c r="Q107" t="str">
        <f t="shared" si="1"/>
        <v>Other</v>
      </c>
      <c r="R107" s="1" t="s">
        <v>1232</v>
      </c>
    </row>
    <row r="108" spans="1:18" x14ac:dyDescent="0.2">
      <c r="A108" t="s">
        <v>442</v>
      </c>
      <c r="B108" t="s">
        <v>442</v>
      </c>
      <c r="C108" t="s">
        <v>21</v>
      </c>
      <c r="D108" t="s">
        <v>443</v>
      </c>
      <c r="E108" t="s">
        <v>414</v>
      </c>
      <c r="F108" t="s">
        <v>444</v>
      </c>
      <c r="G108" t="s">
        <v>445</v>
      </c>
      <c r="H108" t="s">
        <v>21</v>
      </c>
      <c r="I108" t="s">
        <v>22</v>
      </c>
      <c r="J108" t="s">
        <v>21</v>
      </c>
      <c r="K108" t="s">
        <v>21</v>
      </c>
      <c r="L108" t="s">
        <v>21</v>
      </c>
      <c r="M108" t="s">
        <v>21</v>
      </c>
      <c r="N108" t="s">
        <v>21</v>
      </c>
      <c r="O108" t="s">
        <v>446</v>
      </c>
      <c r="P108" t="s">
        <v>1214</v>
      </c>
      <c r="Q108" t="str">
        <f t="shared" si="1"/>
        <v>Other</v>
      </c>
      <c r="R108" s="1" t="s">
        <v>1232</v>
      </c>
    </row>
    <row r="109" spans="1:18" x14ac:dyDescent="0.2">
      <c r="A109" t="s">
        <v>670</v>
      </c>
      <c r="B109" t="s">
        <v>670</v>
      </c>
      <c r="C109" t="s">
        <v>21</v>
      </c>
      <c r="D109" t="s">
        <v>671</v>
      </c>
      <c r="E109" t="s">
        <v>654</v>
      </c>
      <c r="F109" t="s">
        <v>672</v>
      </c>
      <c r="G109" t="s">
        <v>673</v>
      </c>
      <c r="H109" t="s">
        <v>21</v>
      </c>
      <c r="I109" t="s">
        <v>22</v>
      </c>
      <c r="J109" t="s">
        <v>657</v>
      </c>
      <c r="K109" t="s">
        <v>674</v>
      </c>
      <c r="L109" t="s">
        <v>675</v>
      </c>
      <c r="M109" t="s">
        <v>21</v>
      </c>
      <c r="N109" t="s">
        <v>660</v>
      </c>
      <c r="O109" t="s">
        <v>661</v>
      </c>
      <c r="P109" t="s">
        <v>1215</v>
      </c>
      <c r="Q109" t="str">
        <f t="shared" si="1"/>
        <v>K</v>
      </c>
      <c r="R109" s="1" t="s">
        <v>1230</v>
      </c>
    </row>
    <row r="110" spans="1:18" x14ac:dyDescent="0.2">
      <c r="A110" t="s">
        <v>652</v>
      </c>
      <c r="B110" t="s">
        <v>652</v>
      </c>
      <c r="C110" t="s">
        <v>21</v>
      </c>
      <c r="D110" t="s">
        <v>653</v>
      </c>
      <c r="E110" t="s">
        <v>654</v>
      </c>
      <c r="F110" t="s">
        <v>655</v>
      </c>
      <c r="G110" t="s">
        <v>656</v>
      </c>
      <c r="H110" t="s">
        <v>21</v>
      </c>
      <c r="I110" t="s">
        <v>22</v>
      </c>
      <c r="J110" t="s">
        <v>657</v>
      </c>
      <c r="K110" t="s">
        <v>658</v>
      </c>
      <c r="L110" t="s">
        <v>659</v>
      </c>
      <c r="M110" t="s">
        <v>21</v>
      </c>
      <c r="N110" t="s">
        <v>660</v>
      </c>
      <c r="O110" t="s">
        <v>661</v>
      </c>
      <c r="P110" t="s">
        <v>1215</v>
      </c>
      <c r="Q110" t="str">
        <f t="shared" si="1"/>
        <v>K</v>
      </c>
      <c r="R110" s="1" t="s">
        <v>1230</v>
      </c>
    </row>
    <row r="111" spans="1:18" x14ac:dyDescent="0.2">
      <c r="A111" t="s">
        <v>662</v>
      </c>
      <c r="B111" t="s">
        <v>662</v>
      </c>
      <c r="C111" t="s">
        <v>21</v>
      </c>
      <c r="D111" t="s">
        <v>663</v>
      </c>
      <c r="E111" t="s">
        <v>664</v>
      </c>
      <c r="F111" t="s">
        <v>665</v>
      </c>
      <c r="G111" t="s">
        <v>666</v>
      </c>
      <c r="H111" t="s">
        <v>21</v>
      </c>
      <c r="I111" t="s">
        <v>22</v>
      </c>
      <c r="J111" t="s">
        <v>667</v>
      </c>
      <c r="K111" t="s">
        <v>668</v>
      </c>
      <c r="L111" t="s">
        <v>669</v>
      </c>
      <c r="M111" t="s">
        <v>21</v>
      </c>
      <c r="N111" t="s">
        <v>660</v>
      </c>
      <c r="O111" t="s">
        <v>661</v>
      </c>
      <c r="P111" t="s">
        <v>1215</v>
      </c>
      <c r="Q111" t="str">
        <f t="shared" si="1"/>
        <v>K</v>
      </c>
      <c r="R111" s="1" t="s">
        <v>1230</v>
      </c>
    </row>
    <row r="112" spans="1:18" x14ac:dyDescent="0.2">
      <c r="A112" t="s">
        <v>676</v>
      </c>
      <c r="B112" t="s">
        <v>676</v>
      </c>
      <c r="C112" t="s">
        <v>21</v>
      </c>
      <c r="D112" t="s">
        <v>677</v>
      </c>
      <c r="E112" t="s">
        <v>664</v>
      </c>
      <c r="F112" t="s">
        <v>678</v>
      </c>
      <c r="G112" t="s">
        <v>679</v>
      </c>
      <c r="H112" t="s">
        <v>21</v>
      </c>
      <c r="I112" t="s">
        <v>22</v>
      </c>
      <c r="J112" t="s">
        <v>657</v>
      </c>
      <c r="K112" t="s">
        <v>680</v>
      </c>
      <c r="L112" t="s">
        <v>681</v>
      </c>
      <c r="M112" t="s">
        <v>21</v>
      </c>
      <c r="N112" t="s">
        <v>682</v>
      </c>
      <c r="O112" t="s">
        <v>661</v>
      </c>
      <c r="P112" t="s">
        <v>1216</v>
      </c>
      <c r="Q112" t="str">
        <f t="shared" si="1"/>
        <v>K</v>
      </c>
      <c r="R112" s="1" t="s">
        <v>1230</v>
      </c>
    </row>
    <row r="113" spans="1:18" x14ac:dyDescent="0.2">
      <c r="A113" t="s">
        <v>1063</v>
      </c>
      <c r="B113" t="s">
        <v>1063</v>
      </c>
      <c r="C113" t="s">
        <v>21</v>
      </c>
      <c r="D113" t="s">
        <v>1064</v>
      </c>
      <c r="E113" t="s">
        <v>328</v>
      </c>
      <c r="F113" t="s">
        <v>1065</v>
      </c>
      <c r="G113" t="s">
        <v>1066</v>
      </c>
      <c r="H113" t="s">
        <v>21</v>
      </c>
      <c r="I113" t="s">
        <v>22</v>
      </c>
      <c r="J113" t="s">
        <v>33</v>
      </c>
      <c r="K113" t="s">
        <v>1067</v>
      </c>
      <c r="L113" t="s">
        <v>1068</v>
      </c>
      <c r="M113" t="s">
        <v>1069</v>
      </c>
      <c r="N113" t="s">
        <v>21</v>
      </c>
      <c r="O113" t="s">
        <v>1070</v>
      </c>
      <c r="P113" t="s">
        <v>1198</v>
      </c>
      <c r="Q113" t="str">
        <f t="shared" si="1"/>
        <v>Na</v>
      </c>
      <c r="R113" s="1" t="s">
        <v>1231</v>
      </c>
    </row>
    <row r="114" spans="1:18" x14ac:dyDescent="0.2">
      <c r="A114" t="s">
        <v>15</v>
      </c>
      <c r="B114" t="s">
        <v>15</v>
      </c>
      <c r="C114" t="s">
        <v>16</v>
      </c>
      <c r="D114" t="s">
        <v>17</v>
      </c>
      <c r="E114" t="s">
        <v>18</v>
      </c>
      <c r="F114" t="s">
        <v>19</v>
      </c>
      <c r="G114" t="s">
        <v>20</v>
      </c>
      <c r="H114" t="s">
        <v>21</v>
      </c>
      <c r="I114" t="s">
        <v>22</v>
      </c>
      <c r="J114" t="s">
        <v>21</v>
      </c>
      <c r="K114" t="s">
        <v>23</v>
      </c>
      <c r="L114" t="s">
        <v>24</v>
      </c>
      <c r="M114" t="s">
        <v>25</v>
      </c>
      <c r="N114" t="s">
        <v>26</v>
      </c>
      <c r="O114" t="s">
        <v>27</v>
      </c>
      <c r="P114" t="s">
        <v>1217</v>
      </c>
      <c r="Q114" t="str">
        <f t="shared" si="1"/>
        <v>Ca</v>
      </c>
      <c r="R114" s="1" t="s">
        <v>1232</v>
      </c>
    </row>
    <row r="115" spans="1:18" x14ac:dyDescent="0.2">
      <c r="A115" t="s">
        <v>293</v>
      </c>
      <c r="B115" t="s">
        <v>293</v>
      </c>
      <c r="C115" t="s">
        <v>16</v>
      </c>
      <c r="D115" t="s">
        <v>294</v>
      </c>
      <c r="E115" t="s">
        <v>209</v>
      </c>
      <c r="F115" t="s">
        <v>295</v>
      </c>
      <c r="G115" t="s">
        <v>296</v>
      </c>
      <c r="H115" t="s">
        <v>21</v>
      </c>
      <c r="I115" t="s">
        <v>22</v>
      </c>
      <c r="J115" t="s">
        <v>21</v>
      </c>
      <c r="K115" t="s">
        <v>297</v>
      </c>
      <c r="L115" t="s">
        <v>298</v>
      </c>
      <c r="M115" t="s">
        <v>21</v>
      </c>
      <c r="N115" t="s">
        <v>299</v>
      </c>
      <c r="O115" t="s">
        <v>300</v>
      </c>
      <c r="P115" t="s">
        <v>1158</v>
      </c>
      <c r="Q115" t="str">
        <f t="shared" si="1"/>
        <v>Ca</v>
      </c>
      <c r="R115" s="1" t="s">
        <v>1232</v>
      </c>
    </row>
    <row r="116" spans="1:18" x14ac:dyDescent="0.2">
      <c r="A116" t="s">
        <v>982</v>
      </c>
      <c r="B116" t="s">
        <v>982</v>
      </c>
      <c r="C116" t="s">
        <v>21</v>
      </c>
      <c r="D116" t="s">
        <v>983</v>
      </c>
      <c r="E116" t="s">
        <v>144</v>
      </c>
      <c r="F116" t="s">
        <v>984</v>
      </c>
      <c r="G116" t="s">
        <v>985</v>
      </c>
      <c r="H116" t="s">
        <v>21</v>
      </c>
      <c r="I116" t="s">
        <v>22</v>
      </c>
      <c r="J116" t="s">
        <v>33</v>
      </c>
      <c r="K116" t="s">
        <v>986</v>
      </c>
      <c r="L116" t="s">
        <v>987</v>
      </c>
      <c r="M116" t="s">
        <v>21</v>
      </c>
      <c r="N116" t="s">
        <v>988</v>
      </c>
      <c r="O116" t="s">
        <v>989</v>
      </c>
      <c r="P116" t="s">
        <v>1218</v>
      </c>
      <c r="Q116" t="str">
        <f t="shared" si="1"/>
        <v>Na</v>
      </c>
      <c r="R116" s="1" t="s">
        <v>1231</v>
      </c>
    </row>
    <row r="117" spans="1:18" x14ac:dyDescent="0.2">
      <c r="A117" t="s">
        <v>326</v>
      </c>
      <c r="B117" t="s">
        <v>326</v>
      </c>
      <c r="C117" t="s">
        <v>21</v>
      </c>
      <c r="D117" t="s">
        <v>327</v>
      </c>
      <c r="E117" t="s">
        <v>328</v>
      </c>
      <c r="F117" t="s">
        <v>329</v>
      </c>
      <c r="G117" t="s">
        <v>330</v>
      </c>
      <c r="H117" t="s">
        <v>21</v>
      </c>
      <c r="I117" t="s">
        <v>22</v>
      </c>
      <c r="J117" t="s">
        <v>331</v>
      </c>
      <c r="K117" t="s">
        <v>332</v>
      </c>
      <c r="L117" t="s">
        <v>333</v>
      </c>
      <c r="M117" t="s">
        <v>21</v>
      </c>
      <c r="N117" t="s">
        <v>325</v>
      </c>
      <c r="O117" t="s">
        <v>334</v>
      </c>
      <c r="P117" t="s">
        <v>1177</v>
      </c>
      <c r="Q117" t="str">
        <f t="shared" si="1"/>
        <v>Other</v>
      </c>
      <c r="R117" s="1" t="s">
        <v>1232</v>
      </c>
    </row>
    <row r="118" spans="1:18" x14ac:dyDescent="0.2">
      <c r="A118" t="s">
        <v>142</v>
      </c>
      <c r="B118" t="s">
        <v>142</v>
      </c>
      <c r="C118" t="s">
        <v>21</v>
      </c>
      <c r="D118" t="s">
        <v>143</v>
      </c>
      <c r="E118" t="s">
        <v>144</v>
      </c>
      <c r="F118" t="s">
        <v>145</v>
      </c>
      <c r="G118" t="s">
        <v>146</v>
      </c>
      <c r="H118" t="s">
        <v>21</v>
      </c>
      <c r="I118" t="s">
        <v>22</v>
      </c>
      <c r="J118" t="s">
        <v>33</v>
      </c>
      <c r="K118" t="s">
        <v>147</v>
      </c>
      <c r="L118" t="s">
        <v>148</v>
      </c>
      <c r="M118" t="s">
        <v>21</v>
      </c>
      <c r="N118" t="s">
        <v>149</v>
      </c>
      <c r="O118" t="s">
        <v>150</v>
      </c>
      <c r="P118" t="s">
        <v>1173</v>
      </c>
      <c r="Q118" t="str">
        <f t="shared" si="1"/>
        <v>Ca</v>
      </c>
      <c r="R118" s="1" t="s">
        <v>1232</v>
      </c>
    </row>
    <row r="119" spans="1:18" x14ac:dyDescent="0.2">
      <c r="A119" t="s">
        <v>62</v>
      </c>
      <c r="B119" t="s">
        <v>62</v>
      </c>
      <c r="C119" t="s">
        <v>21</v>
      </c>
      <c r="D119" t="s">
        <v>63</v>
      </c>
      <c r="E119" t="s">
        <v>64</v>
      </c>
      <c r="F119" t="s">
        <v>65</v>
      </c>
      <c r="G119" t="s">
        <v>66</v>
      </c>
      <c r="H119" t="s">
        <v>21</v>
      </c>
      <c r="I119" t="s">
        <v>22</v>
      </c>
      <c r="J119" t="s">
        <v>33</v>
      </c>
      <c r="K119" t="s">
        <v>67</v>
      </c>
      <c r="L119" t="s">
        <v>68</v>
      </c>
      <c r="M119" t="s">
        <v>21</v>
      </c>
      <c r="N119" t="s">
        <v>69</v>
      </c>
      <c r="O119" t="s">
        <v>46</v>
      </c>
      <c r="P119" t="s">
        <v>1167</v>
      </c>
      <c r="Q119" t="str">
        <f t="shared" si="1"/>
        <v>Ca</v>
      </c>
      <c r="R119" s="1" t="s">
        <v>1232</v>
      </c>
    </row>
    <row r="120" spans="1:18" x14ac:dyDescent="0.2">
      <c r="A120" t="s">
        <v>70</v>
      </c>
      <c r="B120" t="s">
        <v>70</v>
      </c>
      <c r="C120" t="s">
        <v>21</v>
      </c>
      <c r="D120" t="s">
        <v>71</v>
      </c>
      <c r="E120" t="s">
        <v>64</v>
      </c>
      <c r="F120" t="s">
        <v>72</v>
      </c>
      <c r="G120" t="s">
        <v>73</v>
      </c>
      <c r="H120" t="s">
        <v>21</v>
      </c>
      <c r="I120" t="s">
        <v>22</v>
      </c>
      <c r="J120" t="s">
        <v>33</v>
      </c>
      <c r="K120" t="s">
        <v>74</v>
      </c>
      <c r="L120" t="s">
        <v>75</v>
      </c>
      <c r="M120" t="s">
        <v>21</v>
      </c>
      <c r="N120" t="s">
        <v>69</v>
      </c>
      <c r="O120" t="s">
        <v>46</v>
      </c>
      <c r="P120" t="s">
        <v>1167</v>
      </c>
      <c r="Q120" t="str">
        <f t="shared" si="1"/>
        <v>Ca</v>
      </c>
      <c r="R120" s="1" t="s">
        <v>1232</v>
      </c>
    </row>
    <row r="121" spans="1:18" x14ac:dyDescent="0.2">
      <c r="A121" t="s">
        <v>217</v>
      </c>
      <c r="B121" t="s">
        <v>217</v>
      </c>
      <c r="C121" t="s">
        <v>21</v>
      </c>
      <c r="D121" t="s">
        <v>218</v>
      </c>
      <c r="E121" t="s">
        <v>219</v>
      </c>
      <c r="F121" t="s">
        <v>220</v>
      </c>
      <c r="G121" t="s">
        <v>221</v>
      </c>
      <c r="H121" t="s">
        <v>21</v>
      </c>
      <c r="I121" t="s">
        <v>22</v>
      </c>
      <c r="J121" t="s">
        <v>33</v>
      </c>
      <c r="K121" t="s">
        <v>222</v>
      </c>
      <c r="L121" t="s">
        <v>223</v>
      </c>
      <c r="M121" t="s">
        <v>224</v>
      </c>
      <c r="N121" t="s">
        <v>225</v>
      </c>
      <c r="O121" t="s">
        <v>46</v>
      </c>
      <c r="P121" t="s">
        <v>1167</v>
      </c>
      <c r="Q121" t="str">
        <f t="shared" si="1"/>
        <v>Ca</v>
      </c>
      <c r="R121" s="1" t="s">
        <v>1232</v>
      </c>
    </row>
    <row r="122" spans="1:18" x14ac:dyDescent="0.2">
      <c r="A122" t="s">
        <v>391</v>
      </c>
      <c r="B122" t="s">
        <v>391</v>
      </c>
      <c r="C122" t="s">
        <v>21</v>
      </c>
      <c r="D122" t="s">
        <v>392</v>
      </c>
      <c r="E122" t="s">
        <v>40</v>
      </c>
      <c r="F122" t="s">
        <v>393</v>
      </c>
      <c r="G122" t="s">
        <v>394</v>
      </c>
      <c r="H122" t="s">
        <v>21</v>
      </c>
      <c r="I122" t="s">
        <v>22</v>
      </c>
      <c r="J122" t="s">
        <v>33</v>
      </c>
      <c r="K122" t="s">
        <v>395</v>
      </c>
      <c r="L122" t="s">
        <v>396</v>
      </c>
      <c r="M122" t="s">
        <v>21</v>
      </c>
      <c r="N122" t="s">
        <v>397</v>
      </c>
      <c r="O122" t="s">
        <v>46</v>
      </c>
      <c r="P122" t="s">
        <v>1167</v>
      </c>
      <c r="Q122" t="str">
        <f t="shared" si="1"/>
        <v>Ca</v>
      </c>
      <c r="R122" s="1" t="s">
        <v>1232</v>
      </c>
    </row>
    <row r="123" spans="1:18" x14ac:dyDescent="0.2">
      <c r="A123" t="s">
        <v>47</v>
      </c>
      <c r="B123" t="s">
        <v>47</v>
      </c>
      <c r="C123" t="s">
        <v>21</v>
      </c>
      <c r="D123" t="s">
        <v>48</v>
      </c>
      <c r="E123" t="s">
        <v>40</v>
      </c>
      <c r="F123" t="s">
        <v>49</v>
      </c>
      <c r="G123" t="s">
        <v>50</v>
      </c>
      <c r="H123" t="s">
        <v>21</v>
      </c>
      <c r="I123" t="s">
        <v>22</v>
      </c>
      <c r="J123" t="s">
        <v>33</v>
      </c>
      <c r="K123" t="s">
        <v>51</v>
      </c>
      <c r="L123" t="s">
        <v>52</v>
      </c>
      <c r="M123" t="s">
        <v>21</v>
      </c>
      <c r="N123" t="s">
        <v>53</v>
      </c>
      <c r="O123" t="s">
        <v>46</v>
      </c>
      <c r="P123" t="s">
        <v>1173</v>
      </c>
      <c r="Q123" t="str">
        <f t="shared" si="1"/>
        <v>Ca</v>
      </c>
      <c r="R123" s="1" t="s">
        <v>1232</v>
      </c>
    </row>
    <row r="124" spans="1:18" x14ac:dyDescent="0.2">
      <c r="A124" t="s">
        <v>38</v>
      </c>
      <c r="B124" t="s">
        <v>38</v>
      </c>
      <c r="C124" t="s">
        <v>21</v>
      </c>
      <c r="D124" t="s">
        <v>39</v>
      </c>
      <c r="E124" t="s">
        <v>40</v>
      </c>
      <c r="F124" t="s">
        <v>41</v>
      </c>
      <c r="G124" t="s">
        <v>42</v>
      </c>
      <c r="H124" t="s">
        <v>21</v>
      </c>
      <c r="I124" t="s">
        <v>22</v>
      </c>
      <c r="J124" t="s">
        <v>33</v>
      </c>
      <c r="K124" t="s">
        <v>43</v>
      </c>
      <c r="L124" t="s">
        <v>44</v>
      </c>
      <c r="M124" t="s">
        <v>21</v>
      </c>
      <c r="N124" t="s">
        <v>45</v>
      </c>
      <c r="O124" t="s">
        <v>46</v>
      </c>
      <c r="P124" t="s">
        <v>1173</v>
      </c>
      <c r="Q124" t="str">
        <f t="shared" si="1"/>
        <v>Ca</v>
      </c>
      <c r="R124" s="1" t="s">
        <v>1232</v>
      </c>
    </row>
    <row r="125" spans="1:18" x14ac:dyDescent="0.2">
      <c r="A125" t="s">
        <v>796</v>
      </c>
      <c r="B125" t="s">
        <v>796</v>
      </c>
      <c r="C125" t="s">
        <v>21</v>
      </c>
      <c r="D125" t="s">
        <v>797</v>
      </c>
      <c r="E125" t="s">
        <v>244</v>
      </c>
      <c r="F125" t="s">
        <v>798</v>
      </c>
      <c r="G125" t="s">
        <v>799</v>
      </c>
      <c r="H125" t="s">
        <v>21</v>
      </c>
      <c r="I125" t="s">
        <v>22</v>
      </c>
      <c r="J125" t="s">
        <v>378</v>
      </c>
      <c r="K125" t="s">
        <v>800</v>
      </c>
      <c r="L125" t="s">
        <v>21</v>
      </c>
      <c r="M125" t="s">
        <v>21</v>
      </c>
      <c r="N125" t="s">
        <v>801</v>
      </c>
      <c r="O125" t="s">
        <v>802</v>
      </c>
      <c r="P125" t="s">
        <v>1219</v>
      </c>
      <c r="Q125" t="str">
        <f t="shared" si="1"/>
        <v>Na</v>
      </c>
      <c r="R125" s="1" t="s">
        <v>1231</v>
      </c>
    </row>
    <row r="126" spans="1:18" x14ac:dyDescent="0.2">
      <c r="A126" t="s">
        <v>811</v>
      </c>
      <c r="B126" t="s">
        <v>811</v>
      </c>
      <c r="C126" t="s">
        <v>21</v>
      </c>
      <c r="D126" t="s">
        <v>812</v>
      </c>
      <c r="E126" t="s">
        <v>244</v>
      </c>
      <c r="F126" t="s">
        <v>813</v>
      </c>
      <c r="G126" t="s">
        <v>814</v>
      </c>
      <c r="H126" t="s">
        <v>21</v>
      </c>
      <c r="I126" t="s">
        <v>22</v>
      </c>
      <c r="J126" t="s">
        <v>21</v>
      </c>
      <c r="K126" t="s">
        <v>21</v>
      </c>
      <c r="L126" t="s">
        <v>21</v>
      </c>
      <c r="M126" t="s">
        <v>21</v>
      </c>
      <c r="N126" t="s">
        <v>789</v>
      </c>
      <c r="O126" t="s">
        <v>815</v>
      </c>
      <c r="P126" t="s">
        <v>1220</v>
      </c>
      <c r="Q126" t="str">
        <f t="shared" si="1"/>
        <v>Na</v>
      </c>
      <c r="R126" s="1" t="s">
        <v>1231</v>
      </c>
    </row>
    <row r="127" spans="1:18" x14ac:dyDescent="0.2">
      <c r="A127" t="s">
        <v>816</v>
      </c>
      <c r="B127" t="s">
        <v>816</v>
      </c>
      <c r="C127" t="s">
        <v>21</v>
      </c>
      <c r="D127" t="s">
        <v>817</v>
      </c>
      <c r="E127" t="s">
        <v>244</v>
      </c>
      <c r="F127" t="s">
        <v>818</v>
      </c>
      <c r="G127" t="s">
        <v>819</v>
      </c>
      <c r="H127" t="s">
        <v>21</v>
      </c>
      <c r="I127" t="s">
        <v>22</v>
      </c>
      <c r="J127" t="s">
        <v>378</v>
      </c>
      <c r="K127" t="s">
        <v>820</v>
      </c>
      <c r="L127" t="s">
        <v>21</v>
      </c>
      <c r="M127" t="s">
        <v>821</v>
      </c>
      <c r="N127" t="s">
        <v>822</v>
      </c>
      <c r="O127" t="s">
        <v>823</v>
      </c>
      <c r="P127" t="s">
        <v>1221</v>
      </c>
      <c r="Q127" t="str">
        <f t="shared" si="1"/>
        <v>Na</v>
      </c>
      <c r="R127" s="1" t="s">
        <v>1231</v>
      </c>
    </row>
    <row r="128" spans="1:18" x14ac:dyDescent="0.2">
      <c r="A128" t="s">
        <v>824</v>
      </c>
      <c r="B128" t="s">
        <v>824</v>
      </c>
      <c r="C128" t="s">
        <v>16</v>
      </c>
      <c r="D128" t="s">
        <v>825</v>
      </c>
      <c r="E128" t="s">
        <v>244</v>
      </c>
      <c r="F128" t="s">
        <v>826</v>
      </c>
      <c r="G128" t="s">
        <v>827</v>
      </c>
      <c r="H128" t="s">
        <v>21</v>
      </c>
      <c r="I128" t="s">
        <v>22</v>
      </c>
      <c r="J128" t="s">
        <v>21</v>
      </c>
      <c r="K128" t="s">
        <v>828</v>
      </c>
      <c r="L128" t="s">
        <v>21</v>
      </c>
      <c r="M128" t="s">
        <v>21</v>
      </c>
      <c r="N128" t="s">
        <v>783</v>
      </c>
      <c r="O128" t="s">
        <v>815</v>
      </c>
      <c r="P128" t="s">
        <v>1149</v>
      </c>
      <c r="Q128" t="str">
        <f t="shared" si="1"/>
        <v>Na</v>
      </c>
      <c r="R128" s="1" t="s">
        <v>1231</v>
      </c>
    </row>
    <row r="129" spans="1:18" x14ac:dyDescent="0.2">
      <c r="A129" t="s">
        <v>894</v>
      </c>
      <c r="B129" t="s">
        <v>894</v>
      </c>
      <c r="C129" t="s">
        <v>21</v>
      </c>
      <c r="D129" t="s">
        <v>895</v>
      </c>
      <c r="E129" t="s">
        <v>40</v>
      </c>
      <c r="F129" t="s">
        <v>896</v>
      </c>
      <c r="G129" t="s">
        <v>897</v>
      </c>
      <c r="H129" t="s">
        <v>21</v>
      </c>
      <c r="I129" t="s">
        <v>22</v>
      </c>
      <c r="J129" t="s">
        <v>565</v>
      </c>
      <c r="K129" t="s">
        <v>898</v>
      </c>
      <c r="L129" t="s">
        <v>899</v>
      </c>
      <c r="M129" t="s">
        <v>21</v>
      </c>
      <c r="N129" t="s">
        <v>900</v>
      </c>
      <c r="O129" t="s">
        <v>901</v>
      </c>
      <c r="P129" t="s">
        <v>1222</v>
      </c>
      <c r="Q129" t="str">
        <f t="shared" si="1"/>
        <v>Na</v>
      </c>
      <c r="R129" s="1" t="s">
        <v>1231</v>
      </c>
    </row>
    <row r="130" spans="1:18" x14ac:dyDescent="0.2">
      <c r="A130" t="s">
        <v>343</v>
      </c>
      <c r="B130" t="s">
        <v>343</v>
      </c>
      <c r="C130" t="s">
        <v>21</v>
      </c>
      <c r="D130" t="s">
        <v>344</v>
      </c>
      <c r="E130" t="s">
        <v>345</v>
      </c>
      <c r="F130" t="s">
        <v>346</v>
      </c>
      <c r="G130" t="s">
        <v>347</v>
      </c>
      <c r="H130" t="s">
        <v>21</v>
      </c>
      <c r="I130" t="s">
        <v>22</v>
      </c>
      <c r="J130" t="s">
        <v>33</v>
      </c>
      <c r="K130" t="s">
        <v>348</v>
      </c>
      <c r="L130" t="s">
        <v>349</v>
      </c>
      <c r="M130" t="s">
        <v>21</v>
      </c>
      <c r="N130" t="s">
        <v>350</v>
      </c>
      <c r="O130" t="s">
        <v>37</v>
      </c>
      <c r="P130" t="s">
        <v>1167</v>
      </c>
      <c r="Q130" t="str">
        <f t="shared" si="1"/>
        <v>Ca</v>
      </c>
      <c r="R130" s="1" t="s">
        <v>1232</v>
      </c>
    </row>
    <row r="131" spans="1:18" x14ac:dyDescent="0.2">
      <c r="A131" t="s">
        <v>945</v>
      </c>
      <c r="B131" t="s">
        <v>945</v>
      </c>
      <c r="C131" t="s">
        <v>16</v>
      </c>
      <c r="D131" t="s">
        <v>946</v>
      </c>
      <c r="E131" t="s">
        <v>235</v>
      </c>
      <c r="F131" t="s">
        <v>947</v>
      </c>
      <c r="G131" t="s">
        <v>948</v>
      </c>
      <c r="H131" t="s">
        <v>21</v>
      </c>
      <c r="I131" t="s">
        <v>22</v>
      </c>
      <c r="J131" t="s">
        <v>21</v>
      </c>
      <c r="K131" t="s">
        <v>949</v>
      </c>
      <c r="L131" t="s">
        <v>950</v>
      </c>
      <c r="M131" t="s">
        <v>951</v>
      </c>
      <c r="N131" t="s">
        <v>21</v>
      </c>
      <c r="O131" t="s">
        <v>952</v>
      </c>
      <c r="P131" t="s">
        <v>1223</v>
      </c>
      <c r="Q131" t="str">
        <f t="shared" ref="Q131:Q146" si="2">IF(ISNUMBER(SEARCH("Calcium channel impairing toxin", P131)), "Ca", IF(ISNUMBER(SEARCH("Potassium channel impairing toxin",P131)), "K", IF(ISNUMBER(SEARCH("Proton-gated sodium channel impairing toxin", P131)), "Na", IF(ISNUMBER(SEARCH("Voltage-gated sodium channel impairing toxin", P131)), "Na", "Other"))))</f>
        <v>Na</v>
      </c>
      <c r="R131" s="1" t="s">
        <v>1231</v>
      </c>
    </row>
    <row r="132" spans="1:18" x14ac:dyDescent="0.2">
      <c r="A132" t="s">
        <v>351</v>
      </c>
      <c r="B132" t="s">
        <v>351</v>
      </c>
      <c r="C132" t="s">
        <v>21</v>
      </c>
      <c r="D132" t="s">
        <v>352</v>
      </c>
      <c r="E132" t="s">
        <v>345</v>
      </c>
      <c r="F132" t="s">
        <v>353</v>
      </c>
      <c r="G132" t="s">
        <v>354</v>
      </c>
      <c r="H132" t="s">
        <v>21</v>
      </c>
      <c r="I132" t="s">
        <v>22</v>
      </c>
      <c r="J132" t="s">
        <v>33</v>
      </c>
      <c r="K132" t="s">
        <v>355</v>
      </c>
      <c r="L132" t="s">
        <v>356</v>
      </c>
      <c r="M132" t="s">
        <v>21</v>
      </c>
      <c r="N132" t="s">
        <v>69</v>
      </c>
      <c r="O132" t="s">
        <v>37</v>
      </c>
      <c r="P132" t="s">
        <v>1173</v>
      </c>
      <c r="Q132" t="str">
        <f t="shared" si="2"/>
        <v>Ca</v>
      </c>
      <c r="R132" s="1" t="s">
        <v>1232</v>
      </c>
    </row>
    <row r="133" spans="1:18" x14ac:dyDescent="0.2">
      <c r="A133" t="s">
        <v>447</v>
      </c>
      <c r="B133" t="s">
        <v>447</v>
      </c>
      <c r="C133" t="s">
        <v>21</v>
      </c>
      <c r="D133" t="s">
        <v>448</v>
      </c>
      <c r="E133" t="s">
        <v>437</v>
      </c>
      <c r="F133" t="s">
        <v>449</v>
      </c>
      <c r="G133" t="s">
        <v>450</v>
      </c>
      <c r="H133" t="s">
        <v>21</v>
      </c>
      <c r="I133" t="s">
        <v>22</v>
      </c>
      <c r="J133" t="s">
        <v>21</v>
      </c>
      <c r="K133" t="s">
        <v>21</v>
      </c>
      <c r="L133" t="s">
        <v>21</v>
      </c>
      <c r="M133" t="s">
        <v>21</v>
      </c>
      <c r="N133" t="s">
        <v>21</v>
      </c>
      <c r="O133" t="s">
        <v>451</v>
      </c>
      <c r="P133" t="s">
        <v>1224</v>
      </c>
      <c r="Q133" t="str">
        <f t="shared" si="2"/>
        <v>Other</v>
      </c>
      <c r="R133" s="1" t="s">
        <v>1232</v>
      </c>
    </row>
    <row r="134" spans="1:18" x14ac:dyDescent="0.2">
      <c r="A134" t="s">
        <v>1027</v>
      </c>
      <c r="B134" t="s">
        <v>1027</v>
      </c>
      <c r="C134" t="s">
        <v>21</v>
      </c>
      <c r="D134" t="s">
        <v>1028</v>
      </c>
      <c r="E134" t="s">
        <v>1029</v>
      </c>
      <c r="F134" t="s">
        <v>1030</v>
      </c>
      <c r="G134" t="s">
        <v>1031</v>
      </c>
      <c r="H134" t="s">
        <v>21</v>
      </c>
      <c r="I134" t="s">
        <v>22</v>
      </c>
      <c r="J134" t="s">
        <v>33</v>
      </c>
      <c r="K134" t="s">
        <v>1032</v>
      </c>
      <c r="L134" t="s">
        <v>1033</v>
      </c>
      <c r="M134" t="s">
        <v>21</v>
      </c>
      <c r="N134" t="s">
        <v>1034</v>
      </c>
      <c r="O134" t="s">
        <v>1035</v>
      </c>
      <c r="P134" t="s">
        <v>1225</v>
      </c>
      <c r="Q134" t="str">
        <f t="shared" si="2"/>
        <v>Na</v>
      </c>
      <c r="R134" s="1" t="s">
        <v>1231</v>
      </c>
    </row>
    <row r="135" spans="1:18" x14ac:dyDescent="0.2">
      <c r="A135" t="s">
        <v>28</v>
      </c>
      <c r="B135" t="s">
        <v>28</v>
      </c>
      <c r="C135" t="s">
        <v>21</v>
      </c>
      <c r="D135" t="s">
        <v>29</v>
      </c>
      <c r="E135" t="s">
        <v>30</v>
      </c>
      <c r="F135" t="s">
        <v>31</v>
      </c>
      <c r="G135" t="s">
        <v>32</v>
      </c>
      <c r="H135" t="s">
        <v>21</v>
      </c>
      <c r="I135" t="s">
        <v>22</v>
      </c>
      <c r="J135" t="s">
        <v>33</v>
      </c>
      <c r="K135" t="s">
        <v>34</v>
      </c>
      <c r="L135" t="s">
        <v>35</v>
      </c>
      <c r="M135" t="s">
        <v>21</v>
      </c>
      <c r="N135" t="s">
        <v>36</v>
      </c>
      <c r="O135" t="s">
        <v>37</v>
      </c>
      <c r="P135" t="s">
        <v>1167</v>
      </c>
      <c r="Q135" t="str">
        <f t="shared" si="2"/>
        <v>Ca</v>
      </c>
      <c r="R135" s="1" t="s">
        <v>1232</v>
      </c>
    </row>
    <row r="136" spans="1:18" x14ac:dyDescent="0.2">
      <c r="A136" t="s">
        <v>85</v>
      </c>
      <c r="B136" t="s">
        <v>85</v>
      </c>
      <c r="C136" t="s">
        <v>21</v>
      </c>
      <c r="D136" t="s">
        <v>86</v>
      </c>
      <c r="E136" t="s">
        <v>30</v>
      </c>
      <c r="F136" t="s">
        <v>87</v>
      </c>
      <c r="G136" t="s">
        <v>88</v>
      </c>
      <c r="H136" t="s">
        <v>21</v>
      </c>
      <c r="I136" t="s">
        <v>22</v>
      </c>
      <c r="J136" t="s">
        <v>33</v>
      </c>
      <c r="K136" t="s">
        <v>89</v>
      </c>
      <c r="L136" t="s">
        <v>90</v>
      </c>
      <c r="M136" t="s">
        <v>21</v>
      </c>
      <c r="N136" t="s">
        <v>91</v>
      </c>
      <c r="O136" t="s">
        <v>37</v>
      </c>
      <c r="P136" t="s">
        <v>1173</v>
      </c>
      <c r="Q136" t="str">
        <f t="shared" si="2"/>
        <v>Ca</v>
      </c>
      <c r="R136" s="1" t="s">
        <v>1232</v>
      </c>
    </row>
    <row r="137" spans="1:18" x14ac:dyDescent="0.2">
      <c r="A137" t="s">
        <v>102</v>
      </c>
      <c r="B137" t="s">
        <v>102</v>
      </c>
      <c r="C137" t="s">
        <v>21</v>
      </c>
      <c r="D137" t="s">
        <v>103</v>
      </c>
      <c r="E137" t="s">
        <v>30</v>
      </c>
      <c r="F137" t="s">
        <v>104</v>
      </c>
      <c r="G137" t="s">
        <v>105</v>
      </c>
      <c r="H137" t="s">
        <v>21</v>
      </c>
      <c r="I137" t="s">
        <v>22</v>
      </c>
      <c r="J137" t="s">
        <v>33</v>
      </c>
      <c r="K137" t="s">
        <v>106</v>
      </c>
      <c r="L137" t="s">
        <v>107</v>
      </c>
      <c r="M137" t="s">
        <v>21</v>
      </c>
      <c r="N137" t="s">
        <v>108</v>
      </c>
      <c r="O137" t="s">
        <v>37</v>
      </c>
      <c r="P137" t="s">
        <v>1167</v>
      </c>
      <c r="Q137" t="str">
        <f t="shared" si="2"/>
        <v>Ca</v>
      </c>
      <c r="R137" s="1" t="s">
        <v>1232</v>
      </c>
    </row>
    <row r="138" spans="1:18" x14ac:dyDescent="0.2">
      <c r="A138" t="s">
        <v>1109</v>
      </c>
      <c r="B138" t="s">
        <v>1109</v>
      </c>
      <c r="C138" t="s">
        <v>21</v>
      </c>
      <c r="D138" t="s">
        <v>1110</v>
      </c>
      <c r="E138" t="s">
        <v>30</v>
      </c>
      <c r="F138" t="s">
        <v>1111</v>
      </c>
      <c r="G138" t="s">
        <v>1112</v>
      </c>
      <c r="H138" t="s">
        <v>21</v>
      </c>
      <c r="I138" t="s">
        <v>22</v>
      </c>
      <c r="J138" t="s">
        <v>33</v>
      </c>
      <c r="K138" t="s">
        <v>1113</v>
      </c>
      <c r="L138" t="s">
        <v>1114</v>
      </c>
      <c r="M138" t="s">
        <v>21</v>
      </c>
      <c r="N138" t="s">
        <v>966</v>
      </c>
      <c r="O138" t="s">
        <v>37</v>
      </c>
      <c r="P138" t="s">
        <v>1166</v>
      </c>
      <c r="Q138" t="str">
        <f t="shared" si="2"/>
        <v>Na</v>
      </c>
      <c r="R138" s="1" t="s">
        <v>1231</v>
      </c>
    </row>
    <row r="139" spans="1:18" x14ac:dyDescent="0.2">
      <c r="A139" t="s">
        <v>1071</v>
      </c>
      <c r="B139" t="s">
        <v>1071</v>
      </c>
      <c r="C139" t="s">
        <v>21</v>
      </c>
      <c r="D139" t="s">
        <v>1072</v>
      </c>
      <c r="E139" t="s">
        <v>235</v>
      </c>
      <c r="F139" t="s">
        <v>1073</v>
      </c>
      <c r="G139" t="s">
        <v>1074</v>
      </c>
      <c r="H139" t="s">
        <v>21</v>
      </c>
      <c r="I139" t="s">
        <v>22</v>
      </c>
      <c r="J139" t="s">
        <v>33</v>
      </c>
      <c r="K139" t="s">
        <v>1075</v>
      </c>
      <c r="L139" t="s">
        <v>1076</v>
      </c>
      <c r="M139" t="s">
        <v>21</v>
      </c>
      <c r="N139" t="s">
        <v>1077</v>
      </c>
      <c r="O139" t="s">
        <v>37</v>
      </c>
      <c r="P139" t="s">
        <v>1166</v>
      </c>
      <c r="Q139" t="str">
        <f t="shared" si="2"/>
        <v>Na</v>
      </c>
      <c r="R139" s="1" t="s">
        <v>1231</v>
      </c>
    </row>
    <row r="140" spans="1:18" x14ac:dyDescent="0.2">
      <c r="A140" t="s">
        <v>176</v>
      </c>
      <c r="B140" t="s">
        <v>176</v>
      </c>
      <c r="C140" t="s">
        <v>21</v>
      </c>
      <c r="D140" t="s">
        <v>177</v>
      </c>
      <c r="E140" t="s">
        <v>56</v>
      </c>
      <c r="F140" t="s">
        <v>178</v>
      </c>
      <c r="G140" t="s">
        <v>179</v>
      </c>
      <c r="H140" t="s">
        <v>21</v>
      </c>
      <c r="I140" t="s">
        <v>22</v>
      </c>
      <c r="J140" t="s">
        <v>33</v>
      </c>
      <c r="K140" t="s">
        <v>180</v>
      </c>
      <c r="L140" t="s">
        <v>181</v>
      </c>
      <c r="M140" t="s">
        <v>21</v>
      </c>
      <c r="N140" t="s">
        <v>182</v>
      </c>
      <c r="O140" t="s">
        <v>21</v>
      </c>
      <c r="P140" t="s">
        <v>1173</v>
      </c>
      <c r="Q140" t="str">
        <f t="shared" si="2"/>
        <v>Ca</v>
      </c>
      <c r="R140" s="1" t="s">
        <v>1232</v>
      </c>
    </row>
    <row r="141" spans="1:18" x14ac:dyDescent="0.2">
      <c r="A141" t="s">
        <v>54</v>
      </c>
      <c r="B141" t="s">
        <v>54</v>
      </c>
      <c r="C141" t="s">
        <v>21</v>
      </c>
      <c r="D141" t="s">
        <v>55</v>
      </c>
      <c r="E141" t="s">
        <v>56</v>
      </c>
      <c r="F141" t="s">
        <v>57</v>
      </c>
      <c r="G141" t="s">
        <v>58</v>
      </c>
      <c r="H141" t="s">
        <v>21</v>
      </c>
      <c r="I141" t="s">
        <v>22</v>
      </c>
      <c r="J141" t="s">
        <v>33</v>
      </c>
      <c r="K141" t="s">
        <v>59</v>
      </c>
      <c r="L141" t="s">
        <v>60</v>
      </c>
      <c r="M141" t="s">
        <v>21</v>
      </c>
      <c r="N141" t="s">
        <v>61</v>
      </c>
      <c r="O141" t="s">
        <v>21</v>
      </c>
      <c r="P141" t="s">
        <v>1173</v>
      </c>
      <c r="Q141" t="str">
        <f t="shared" si="2"/>
        <v>Ca</v>
      </c>
      <c r="R141" s="1" t="s">
        <v>1232</v>
      </c>
    </row>
    <row r="142" spans="1:18" x14ac:dyDescent="0.2">
      <c r="A142" t="s">
        <v>76</v>
      </c>
      <c r="B142" t="s">
        <v>76</v>
      </c>
      <c r="C142" t="s">
        <v>21</v>
      </c>
      <c r="D142" t="s">
        <v>77</v>
      </c>
      <c r="E142" t="s">
        <v>40</v>
      </c>
      <c r="F142" t="s">
        <v>78</v>
      </c>
      <c r="G142" t="s">
        <v>79</v>
      </c>
      <c r="H142" t="s">
        <v>80</v>
      </c>
      <c r="I142" t="s">
        <v>22</v>
      </c>
      <c r="J142" t="s">
        <v>33</v>
      </c>
      <c r="K142" t="s">
        <v>81</v>
      </c>
      <c r="L142" t="s">
        <v>82</v>
      </c>
      <c r="M142" t="s">
        <v>21</v>
      </c>
      <c r="N142" t="s">
        <v>83</v>
      </c>
      <c r="O142" t="s">
        <v>84</v>
      </c>
      <c r="P142" t="s">
        <v>1226</v>
      </c>
      <c r="Q142" t="str">
        <f t="shared" si="2"/>
        <v>Ca</v>
      </c>
      <c r="R142" s="1" t="s">
        <v>1232</v>
      </c>
    </row>
    <row r="143" spans="1:18" x14ac:dyDescent="0.2">
      <c r="A143" t="s">
        <v>109</v>
      </c>
      <c r="B143" t="s">
        <v>109</v>
      </c>
      <c r="C143" t="s">
        <v>21</v>
      </c>
      <c r="D143" t="s">
        <v>110</v>
      </c>
      <c r="E143" t="s">
        <v>40</v>
      </c>
      <c r="F143" t="s">
        <v>111</v>
      </c>
      <c r="G143" t="s">
        <v>112</v>
      </c>
      <c r="H143" t="s">
        <v>21</v>
      </c>
      <c r="I143" t="s">
        <v>22</v>
      </c>
      <c r="J143" t="s">
        <v>33</v>
      </c>
      <c r="K143" t="s">
        <v>113</v>
      </c>
      <c r="L143" t="s">
        <v>114</v>
      </c>
      <c r="M143" t="s">
        <v>21</v>
      </c>
      <c r="N143" t="s">
        <v>115</v>
      </c>
      <c r="O143" t="s">
        <v>116</v>
      </c>
      <c r="P143" t="s">
        <v>1173</v>
      </c>
      <c r="Q143" t="str">
        <f t="shared" si="2"/>
        <v>Ca</v>
      </c>
      <c r="R143" s="1" t="s">
        <v>1232</v>
      </c>
    </row>
    <row r="144" spans="1:18" x14ac:dyDescent="0.2">
      <c r="A144" t="s">
        <v>521</v>
      </c>
      <c r="B144" t="s">
        <v>521</v>
      </c>
      <c r="C144" t="s">
        <v>21</v>
      </c>
      <c r="D144" t="s">
        <v>522</v>
      </c>
      <c r="E144" t="s">
        <v>30</v>
      </c>
      <c r="F144" t="s">
        <v>523</v>
      </c>
      <c r="G144" t="s">
        <v>524</v>
      </c>
      <c r="H144" t="s">
        <v>21</v>
      </c>
      <c r="I144" t="s">
        <v>22</v>
      </c>
      <c r="J144" t="s">
        <v>33</v>
      </c>
      <c r="K144" t="s">
        <v>525</v>
      </c>
      <c r="L144" t="s">
        <v>526</v>
      </c>
      <c r="M144" t="s">
        <v>21</v>
      </c>
      <c r="N144" t="s">
        <v>527</v>
      </c>
      <c r="O144" t="s">
        <v>206</v>
      </c>
      <c r="P144" t="s">
        <v>1167</v>
      </c>
      <c r="Q144" t="str">
        <f t="shared" si="2"/>
        <v>Ca</v>
      </c>
      <c r="R144" s="1" t="s">
        <v>1232</v>
      </c>
    </row>
    <row r="145" spans="1:18" x14ac:dyDescent="0.2">
      <c r="A145" t="s">
        <v>92</v>
      </c>
      <c r="B145" t="s">
        <v>92</v>
      </c>
      <c r="C145" t="s">
        <v>21</v>
      </c>
      <c r="D145" t="s">
        <v>93</v>
      </c>
      <c r="E145" t="s">
        <v>30</v>
      </c>
      <c r="F145" t="s">
        <v>94</v>
      </c>
      <c r="G145" t="s">
        <v>95</v>
      </c>
      <c r="H145" t="s">
        <v>96</v>
      </c>
      <c r="I145" t="s">
        <v>22</v>
      </c>
      <c r="J145" t="s">
        <v>33</v>
      </c>
      <c r="K145" t="s">
        <v>97</v>
      </c>
      <c r="L145" t="s">
        <v>98</v>
      </c>
      <c r="M145" t="s">
        <v>99</v>
      </c>
      <c r="N145" t="s">
        <v>100</v>
      </c>
      <c r="O145" t="s">
        <v>101</v>
      </c>
      <c r="P145" t="s">
        <v>1227</v>
      </c>
      <c r="Q145" t="str">
        <f t="shared" si="2"/>
        <v>Ca</v>
      </c>
      <c r="R145" s="1" t="s">
        <v>1232</v>
      </c>
    </row>
    <row r="146" spans="1:18" x14ac:dyDescent="0.2">
      <c r="A146" t="s">
        <v>199</v>
      </c>
      <c r="B146" t="s">
        <v>199</v>
      </c>
      <c r="C146" t="s">
        <v>21</v>
      </c>
      <c r="D146" t="s">
        <v>200</v>
      </c>
      <c r="E146" t="s">
        <v>30</v>
      </c>
      <c r="F146" t="s">
        <v>201</v>
      </c>
      <c r="G146" t="s">
        <v>202</v>
      </c>
      <c r="H146" t="s">
        <v>21</v>
      </c>
      <c r="I146" t="s">
        <v>22</v>
      </c>
      <c r="J146" t="s">
        <v>33</v>
      </c>
      <c r="K146" t="s">
        <v>203</v>
      </c>
      <c r="L146" t="s">
        <v>204</v>
      </c>
      <c r="M146" t="s">
        <v>21</v>
      </c>
      <c r="N146" t="s">
        <v>205</v>
      </c>
      <c r="O146" t="s">
        <v>206</v>
      </c>
      <c r="P146" t="s">
        <v>1173</v>
      </c>
      <c r="Q146" t="str">
        <f t="shared" si="2"/>
        <v>Ca</v>
      </c>
      <c r="R146" s="1" t="s">
        <v>1232</v>
      </c>
    </row>
  </sheetData>
  <conditionalFormatting sqref="Q2:R146">
    <cfRule type="expression" dxfId="0" priority="1">
      <formula>$Q2&lt;&gt;$R2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Mariam Gelashvili</cp:lastModifiedBy>
  <dcterms:created xsi:type="dcterms:W3CDTF">2023-11-06T01:24:54Z</dcterms:created>
  <dcterms:modified xsi:type="dcterms:W3CDTF">2023-11-06T02:58:16Z</dcterms:modified>
</cp:coreProperties>
</file>